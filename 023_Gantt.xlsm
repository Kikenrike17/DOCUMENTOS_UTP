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231"/>
  <workbookPr filterPrivacy="1" codeName="ThisWorkbook"/>
  <xr:revisionPtr revIDLastSave="0" documentId="13_ncr:1_{5565DA56-57B4-41EA-803B-88868FD2D73B}" xr6:coauthVersionLast="47" xr6:coauthVersionMax="47" xr10:uidLastSave="{00000000-0000-0000-0000-000000000000}"/>
  <bookViews>
    <workbookView xWindow="-28935" yWindow="735" windowWidth="29070" windowHeight="15750" tabRatio="415" xr2:uid="{00000000-000D-0000-FFFF-FFFF00000000}"/>
  </bookViews>
  <sheets>
    <sheet name="Gantt" sheetId="11" r:id="rId1"/>
    <sheet name="Información" sheetId="12" r:id="rId2"/>
  </sheets>
  <definedNames>
    <definedName name="_xlnm.Print_Area" localSheetId="0">Gantt!$A$1:$BL$33</definedName>
    <definedName name="Hoy" localSheetId="0">TODAY()</definedName>
    <definedName name="Incremento_de_desplazamiento">Gantt!$F$4</definedName>
    <definedName name="Inicio_del_proyecto">Gantt!$F$3</definedName>
    <definedName name="_xlnm.Print_Titles" localSheetId="0">Gantt!$4:$7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11" i="11" l="1"/>
  <c r="F12" i="11" s="1"/>
  <c r="F13" i="11" s="1"/>
  <c r="F14" i="11" s="1"/>
  <c r="F16" i="11" l="1"/>
  <c r="F17" i="11" s="1"/>
  <c r="F18" i="11" s="1"/>
  <c r="F19" i="11" s="1"/>
  <c r="F20" i="11" s="1"/>
  <c r="F22" i="11" s="1"/>
  <c r="F23" i="11" s="1"/>
  <c r="F24" i="11" s="1"/>
  <c r="F25" i="11" s="1"/>
  <c r="F26" i="11" s="1"/>
  <c r="F28" i="11" s="1"/>
  <c r="F29" i="11" s="1"/>
  <c r="F30" i="11" s="1"/>
  <c r="F31" i="11" s="1"/>
  <c r="F32" i="11" s="1"/>
  <c r="F3" i="11" l="1"/>
  <c r="I5" i="11" s="1"/>
  <c r="J5" i="11" s="1"/>
  <c r="K5" i="11" s="1"/>
  <c r="L5" i="11" l="1"/>
  <c r="M5" i="11" s="1"/>
  <c r="N5" i="11" s="1"/>
  <c r="O5" i="11" s="1"/>
  <c r="P5" i="11" s="1"/>
  <c r="Q5" i="11" s="1"/>
  <c r="R5" i="11" s="1"/>
  <c r="S5" i="11" s="1"/>
  <c r="T5" i="11" s="1"/>
  <c r="U5" i="11" s="1"/>
  <c r="V5" i="11" s="1"/>
  <c r="W5" i="11" s="1"/>
  <c r="X5" i="11" s="1"/>
  <c r="Y5" i="11" s="1"/>
  <c r="Z5" i="11" s="1"/>
  <c r="AA5" i="11" s="1"/>
  <c r="AB5" i="11" s="1"/>
  <c r="AC5" i="11" s="1"/>
  <c r="AD5" i="11" s="1"/>
  <c r="AE5" i="11" s="1"/>
  <c r="AF5" i="11" s="1"/>
  <c r="AG5" i="11" s="1"/>
  <c r="AH5" i="11" s="1"/>
  <c r="AI5" i="11" s="1"/>
  <c r="AJ5" i="11" s="1"/>
  <c r="AK5" i="11" s="1"/>
  <c r="AL5" i="11" s="1"/>
  <c r="AM5" i="11" s="1"/>
  <c r="AN5" i="11" s="1"/>
  <c r="AO5" i="11" s="1"/>
  <c r="AP5" i="11" s="1"/>
  <c r="AQ5" i="11" s="1"/>
  <c r="AR5" i="11" s="1"/>
  <c r="AS5" i="11" s="1"/>
  <c r="AT5" i="11" s="1"/>
  <c r="AU5" i="11" s="1"/>
  <c r="AV5" i="11" s="1"/>
  <c r="AW5" i="11" s="1"/>
  <c r="AX5" i="11" s="1"/>
  <c r="AY5" i="11" s="1"/>
  <c r="AZ5" i="11" s="1"/>
  <c r="BA5" i="11" s="1"/>
  <c r="BB5" i="11" s="1"/>
  <c r="BC5" i="11" s="1"/>
  <c r="BD5" i="11" s="1"/>
  <c r="BE5" i="11" s="1"/>
  <c r="BF5" i="11" s="1"/>
  <c r="BG5" i="11" s="1"/>
  <c r="BH5" i="11" s="1"/>
  <c r="BI5" i="11" s="1"/>
  <c r="BJ5" i="11" s="1"/>
  <c r="BK5" i="11" s="1"/>
  <c r="BL5" i="11" s="1"/>
  <c r="BM5" i="11" s="1"/>
  <c r="K30" i="11"/>
  <c r="I17" i="11"/>
  <c r="I22" i="11"/>
  <c r="I20" i="11"/>
  <c r="J26" i="11"/>
  <c r="I23" i="11"/>
  <c r="I18" i="11"/>
  <c r="I15" i="11"/>
  <c r="I33" i="11"/>
  <c r="I28" i="11"/>
  <c r="I12" i="11"/>
  <c r="I24" i="11"/>
  <c r="I21" i="11"/>
  <c r="I7" i="11"/>
  <c r="I10" i="11"/>
  <c r="I32" i="11"/>
  <c r="I19" i="11"/>
  <c r="I29" i="11"/>
  <c r="I26" i="11"/>
  <c r="I16" i="11"/>
  <c r="I31" i="11"/>
  <c r="I25" i="11"/>
  <c r="I11" i="11"/>
  <c r="I30" i="11"/>
  <c r="I27" i="11"/>
  <c r="I14" i="11"/>
  <c r="I13" i="11"/>
  <c r="I9" i="11"/>
  <c r="I4" i="11"/>
  <c r="J22" i="11"/>
  <c r="J21" i="11"/>
  <c r="J23" i="11"/>
  <c r="J31" i="11"/>
  <c r="J15" i="11"/>
  <c r="J14" i="11"/>
  <c r="J17" i="11"/>
  <c r="J19" i="11"/>
  <c r="J18" i="11"/>
  <c r="J10" i="11"/>
  <c r="J7" i="11"/>
  <c r="J33" i="11"/>
  <c r="J16" i="11"/>
  <c r="K14" i="11"/>
  <c r="J29" i="11"/>
  <c r="J28" i="11"/>
  <c r="J12" i="11"/>
  <c r="J25" i="11"/>
  <c r="J20" i="11"/>
  <c r="J13" i="11"/>
  <c r="J24" i="11"/>
  <c r="J9" i="11"/>
  <c r="J32" i="11"/>
  <c r="J30" i="11"/>
  <c r="J27" i="11"/>
  <c r="J11" i="11"/>
  <c r="BM9" i="11" l="1"/>
  <c r="BM11" i="11"/>
  <c r="BM13" i="11"/>
  <c r="BM15" i="11"/>
  <c r="BM17" i="11"/>
  <c r="BM19" i="11"/>
  <c r="BM21" i="11"/>
  <c r="BM23" i="11"/>
  <c r="BM25" i="11"/>
  <c r="BM27" i="11"/>
  <c r="BM29" i="11"/>
  <c r="BM31" i="11"/>
  <c r="BM33" i="11"/>
  <c r="BM28" i="11"/>
  <c r="BN5" i="11"/>
  <c r="BM24" i="11"/>
  <c r="BM32" i="11"/>
  <c r="BM7" i="11"/>
  <c r="BM10" i="11"/>
  <c r="BM12" i="11"/>
  <c r="BM14" i="11"/>
  <c r="BM16" i="11"/>
  <c r="BM18" i="11"/>
  <c r="BM20" i="11"/>
  <c r="BM22" i="11"/>
  <c r="BM26" i="11"/>
  <c r="BM30" i="11"/>
  <c r="BG7" i="11"/>
  <c r="BF7" i="11"/>
  <c r="K26" i="11"/>
  <c r="K25" i="11"/>
  <c r="K24" i="11"/>
  <c r="K28" i="11"/>
  <c r="K11" i="11"/>
  <c r="K20" i="11"/>
  <c r="K10" i="11"/>
  <c r="K27" i="11"/>
  <c r="K15" i="11"/>
  <c r="K18" i="11"/>
  <c r="K17" i="11"/>
  <c r="K29" i="11"/>
  <c r="K12" i="11"/>
  <c r="K22" i="11"/>
  <c r="K19" i="11"/>
  <c r="K7" i="11"/>
  <c r="K13" i="11"/>
  <c r="K33" i="11"/>
  <c r="K21" i="11"/>
  <c r="K16" i="11"/>
  <c r="K9" i="11"/>
  <c r="K31" i="11"/>
  <c r="K23" i="11"/>
  <c r="K32" i="11"/>
  <c r="BN32" i="11" l="1"/>
  <c r="BN9" i="11"/>
  <c r="BN11" i="11"/>
  <c r="BN13" i="11"/>
  <c r="BN15" i="11"/>
  <c r="BN17" i="11"/>
  <c r="BN19" i="11"/>
  <c r="BN21" i="11"/>
  <c r="BN23" i="11"/>
  <c r="BN25" i="11"/>
  <c r="BN27" i="11"/>
  <c r="BN29" i="11"/>
  <c r="BN31" i="11"/>
  <c r="BN33" i="11"/>
  <c r="BN10" i="11"/>
  <c r="BN18" i="11"/>
  <c r="BN26" i="11"/>
  <c r="BO5" i="11"/>
  <c r="BO4" i="11" s="1"/>
  <c r="BN7" i="11"/>
  <c r="BN12" i="11"/>
  <c r="BN14" i="11"/>
  <c r="BN16" i="11"/>
  <c r="BN20" i="11"/>
  <c r="BN22" i="11"/>
  <c r="BN24" i="11"/>
  <c r="BN28" i="11"/>
  <c r="BN30" i="11"/>
  <c r="BH7" i="11"/>
  <c r="L23" i="11"/>
  <c r="L11" i="11"/>
  <c r="L14" i="11"/>
  <c r="L10" i="11"/>
  <c r="L18" i="11"/>
  <c r="L30" i="11"/>
  <c r="L24" i="11"/>
  <c r="L20" i="11"/>
  <c r="L25" i="11"/>
  <c r="L26" i="11"/>
  <c r="L33" i="11"/>
  <c r="M24" i="11"/>
  <c r="L28" i="11"/>
  <c r="L32" i="11"/>
  <c r="L21" i="11"/>
  <c r="L22" i="11"/>
  <c r="L7" i="11"/>
  <c r="L9" i="11"/>
  <c r="L17" i="11"/>
  <c r="L31" i="11"/>
  <c r="L12" i="11"/>
  <c r="L19" i="11"/>
  <c r="L15" i="11"/>
  <c r="L29" i="11"/>
  <c r="L27" i="11"/>
  <c r="L13" i="11"/>
  <c r="L16" i="11"/>
  <c r="BO12" i="11" l="1"/>
  <c r="BO18" i="11"/>
  <c r="BO24" i="11"/>
  <c r="BO32" i="11"/>
  <c r="BO10" i="11"/>
  <c r="BO14" i="11"/>
  <c r="BO20" i="11"/>
  <c r="BO28" i="11"/>
  <c r="BO9" i="11"/>
  <c r="BO11" i="11"/>
  <c r="BO13" i="11"/>
  <c r="BO15" i="11"/>
  <c r="BO17" i="11"/>
  <c r="BO19" i="11"/>
  <c r="BO21" i="11"/>
  <c r="BO23" i="11"/>
  <c r="BO25" i="11"/>
  <c r="BO27" i="11"/>
  <c r="BO29" i="11"/>
  <c r="BO31" i="11"/>
  <c r="BO33" i="11"/>
  <c r="BP5" i="11"/>
  <c r="BO7" i="11"/>
  <c r="BO16" i="11"/>
  <c r="BO22" i="11"/>
  <c r="BO26" i="11"/>
  <c r="BO30" i="11"/>
  <c r="BI7" i="11"/>
  <c r="M14" i="11"/>
  <c r="M22" i="11"/>
  <c r="M33" i="11"/>
  <c r="M9" i="11"/>
  <c r="M18" i="11"/>
  <c r="M19" i="11"/>
  <c r="M7" i="11"/>
  <c r="M16" i="11"/>
  <c r="M31" i="11"/>
  <c r="M23" i="11"/>
  <c r="M28" i="11"/>
  <c r="M11" i="11"/>
  <c r="M26" i="11"/>
  <c r="M25" i="11"/>
  <c r="M10" i="11"/>
  <c r="M30" i="11"/>
  <c r="M12" i="11"/>
  <c r="M29" i="11"/>
  <c r="M20" i="11"/>
  <c r="M27" i="11"/>
  <c r="M21" i="11"/>
  <c r="N7" i="11"/>
  <c r="M32" i="11"/>
  <c r="M13" i="11"/>
  <c r="M15" i="11"/>
  <c r="M17" i="11"/>
  <c r="BP12" i="11" l="1"/>
  <c r="BP18" i="11"/>
  <c r="BP22" i="11"/>
  <c r="BP30" i="11"/>
  <c r="BP10" i="11"/>
  <c r="BP16" i="11"/>
  <c r="BP24" i="11"/>
  <c r="BP28" i="11"/>
  <c r="BP9" i="11"/>
  <c r="BP11" i="11"/>
  <c r="BP13" i="11"/>
  <c r="BP15" i="11"/>
  <c r="BP17" i="11"/>
  <c r="BP19" i="11"/>
  <c r="BP21" i="11"/>
  <c r="BP23" i="11"/>
  <c r="BP25" i="11"/>
  <c r="BP27" i="11"/>
  <c r="BP29" i="11"/>
  <c r="BP31" i="11"/>
  <c r="BP33" i="11"/>
  <c r="BQ5" i="11"/>
  <c r="BP7" i="11"/>
  <c r="BP14" i="11"/>
  <c r="BP20" i="11"/>
  <c r="BP26" i="11"/>
  <c r="BP32" i="11"/>
  <c r="BJ7" i="11"/>
  <c r="N18" i="11"/>
  <c r="N29" i="11"/>
  <c r="N23" i="11"/>
  <c r="N16" i="11"/>
  <c r="N15" i="11"/>
  <c r="N12" i="11"/>
  <c r="N19" i="11"/>
  <c r="N26" i="11"/>
  <c r="O31" i="11"/>
  <c r="N28" i="11"/>
  <c r="N17" i="11"/>
  <c r="N32" i="11"/>
  <c r="N22" i="11"/>
  <c r="N21" i="11"/>
  <c r="N10" i="11"/>
  <c r="N20" i="11"/>
  <c r="N14" i="11"/>
  <c r="N11" i="11"/>
  <c r="N27" i="11"/>
  <c r="N9" i="11"/>
  <c r="N25" i="11"/>
  <c r="N30" i="11"/>
  <c r="N13" i="11"/>
  <c r="N31" i="11"/>
  <c r="N24" i="11"/>
  <c r="N33" i="11"/>
  <c r="BQ12" i="11" l="1"/>
  <c r="BQ14" i="11"/>
  <c r="BQ18" i="11"/>
  <c r="BQ22" i="11"/>
  <c r="BQ26" i="11"/>
  <c r="BQ30" i="11"/>
  <c r="BQ7" i="11"/>
  <c r="BQ16" i="11"/>
  <c r="BQ20" i="11"/>
  <c r="BQ24" i="11"/>
  <c r="BQ28" i="11"/>
  <c r="BQ32" i="11"/>
  <c r="BQ9" i="11"/>
  <c r="BQ11" i="11"/>
  <c r="BQ13" i="11"/>
  <c r="BQ15" i="11"/>
  <c r="BQ17" i="11"/>
  <c r="BQ19" i="11"/>
  <c r="BQ21" i="11"/>
  <c r="BQ23" i="11"/>
  <c r="BQ25" i="11"/>
  <c r="BQ27" i="11"/>
  <c r="BQ29" i="11"/>
  <c r="BQ31" i="11"/>
  <c r="BQ33" i="11"/>
  <c r="BR5" i="11"/>
  <c r="BS5" i="11" s="1"/>
  <c r="BQ10" i="11"/>
  <c r="BL7" i="11"/>
  <c r="BK7" i="11"/>
  <c r="P25" i="11"/>
  <c r="O22" i="11"/>
  <c r="O26" i="11"/>
  <c r="O24" i="11"/>
  <c r="O25" i="11"/>
  <c r="O15" i="11"/>
  <c r="O28" i="11"/>
  <c r="O17" i="11"/>
  <c r="O9" i="11"/>
  <c r="O12" i="11"/>
  <c r="O30" i="11"/>
  <c r="O19" i="11"/>
  <c r="O7" i="11"/>
  <c r="O33" i="11"/>
  <c r="O23" i="11"/>
  <c r="O16" i="11"/>
  <c r="O14" i="11"/>
  <c r="O27" i="11"/>
  <c r="O13" i="11"/>
  <c r="O21" i="11"/>
  <c r="O29" i="11"/>
  <c r="O20" i="11"/>
  <c r="O32" i="11"/>
  <c r="O10" i="11"/>
  <c r="O11" i="11"/>
  <c r="O18" i="11"/>
  <c r="BS13" i="11" l="1"/>
  <c r="BS19" i="11"/>
  <c r="BS25" i="11"/>
  <c r="BS31" i="11"/>
  <c r="BT5" i="11"/>
  <c r="BS12" i="11"/>
  <c r="BS18" i="11"/>
  <c r="BS24" i="11"/>
  <c r="BS30" i="11"/>
  <c r="BS17" i="11"/>
  <c r="BS29" i="11"/>
  <c r="BS15" i="11"/>
  <c r="BS11" i="11"/>
  <c r="BS23" i="11"/>
  <c r="BS16" i="11"/>
  <c r="BS22" i="11"/>
  <c r="BS9" i="11"/>
  <c r="BS21" i="11"/>
  <c r="BS10" i="11"/>
  <c r="BS28" i="11"/>
  <c r="BS27" i="11"/>
  <c r="BS33" i="11"/>
  <c r="BS32" i="11"/>
  <c r="BS20" i="11"/>
  <c r="BS14" i="11"/>
  <c r="BS7" i="11"/>
  <c r="BS26" i="11"/>
  <c r="BR7" i="11"/>
  <c r="BR14" i="11"/>
  <c r="BR18" i="11"/>
  <c r="BR22" i="11"/>
  <c r="BR26" i="11"/>
  <c r="BR30" i="11"/>
  <c r="BR10" i="11"/>
  <c r="BR12" i="11"/>
  <c r="BR16" i="11"/>
  <c r="BR20" i="11"/>
  <c r="BR24" i="11"/>
  <c r="BR28" i="11"/>
  <c r="BR32" i="11"/>
  <c r="BR9" i="11"/>
  <c r="BR11" i="11"/>
  <c r="BR13" i="11"/>
  <c r="BR15" i="11"/>
  <c r="BR17" i="11"/>
  <c r="BR19" i="11"/>
  <c r="BR21" i="11"/>
  <c r="BR23" i="11"/>
  <c r="BR25" i="11"/>
  <c r="BR27" i="11"/>
  <c r="BR29" i="11"/>
  <c r="BR31" i="11"/>
  <c r="BR33" i="11"/>
  <c r="P28" i="11"/>
  <c r="P31" i="11"/>
  <c r="P7" i="11"/>
  <c r="P21" i="11"/>
  <c r="P20" i="11"/>
  <c r="Q14" i="11"/>
  <c r="P16" i="11"/>
  <c r="P9" i="11"/>
  <c r="P30" i="11"/>
  <c r="P15" i="11"/>
  <c r="P12" i="11"/>
  <c r="P29" i="11"/>
  <c r="P32" i="11"/>
  <c r="P24" i="11"/>
  <c r="P11" i="11"/>
  <c r="P23" i="11"/>
  <c r="P27" i="11"/>
  <c r="P13" i="11"/>
  <c r="P22" i="11"/>
  <c r="P19" i="11"/>
  <c r="P4" i="11"/>
  <c r="P33" i="11"/>
  <c r="P14" i="11"/>
  <c r="P26" i="11"/>
  <c r="P10" i="11"/>
  <c r="P17" i="11"/>
  <c r="P18" i="11"/>
  <c r="BU5" i="11" l="1"/>
  <c r="BT12" i="11"/>
  <c r="BT18" i="11"/>
  <c r="BT24" i="11"/>
  <c r="BT30" i="11"/>
  <c r="BT10" i="11"/>
  <c r="BT22" i="11"/>
  <c r="BT28" i="11"/>
  <c r="BT9" i="11"/>
  <c r="BT16" i="11"/>
  <c r="BT15" i="11"/>
  <c r="BT11" i="11"/>
  <c r="BT17" i="11"/>
  <c r="BT23" i="11"/>
  <c r="BT29" i="11"/>
  <c r="BT7" i="11"/>
  <c r="BT27" i="11"/>
  <c r="BT20" i="11"/>
  <c r="BT31" i="11"/>
  <c r="BT21" i="11"/>
  <c r="BT13" i="11"/>
  <c r="BT32" i="11"/>
  <c r="BT25" i="11"/>
  <c r="BT33" i="11"/>
  <c r="BT26" i="11"/>
  <c r="BT19" i="11"/>
  <c r="BT14" i="11"/>
  <c r="Q9" i="11"/>
  <c r="Q12" i="11"/>
  <c r="R24" i="11"/>
  <c r="Q27" i="11"/>
  <c r="Q22" i="11"/>
  <c r="Q7" i="11"/>
  <c r="Q18" i="11"/>
  <c r="Q20" i="11"/>
  <c r="Q19" i="11"/>
  <c r="Q24" i="11"/>
  <c r="Q17" i="11"/>
  <c r="Q16" i="11"/>
  <c r="Q25" i="11"/>
  <c r="Q21" i="11"/>
  <c r="Q31" i="11"/>
  <c r="Q23" i="11"/>
  <c r="Q32" i="11"/>
  <c r="Q33" i="11"/>
  <c r="Q11" i="11"/>
  <c r="Q26" i="11"/>
  <c r="Q28" i="11"/>
  <c r="Q10" i="11"/>
  <c r="Q13" i="11"/>
  <c r="Q29" i="11"/>
  <c r="Q15" i="11"/>
  <c r="Q30" i="11"/>
  <c r="BU7" i="11" l="1"/>
  <c r="BU14" i="11"/>
  <c r="BU20" i="11"/>
  <c r="BU26" i="11"/>
  <c r="BU32" i="11"/>
  <c r="BU13" i="11"/>
  <c r="BU19" i="11"/>
  <c r="BU25" i="11"/>
  <c r="BU31" i="11"/>
  <c r="BU12" i="11"/>
  <c r="BU24" i="11"/>
  <c r="BU17" i="11"/>
  <c r="BU23" i="11"/>
  <c r="BU29" i="11"/>
  <c r="BU10" i="11"/>
  <c r="BU22" i="11"/>
  <c r="BU28" i="11"/>
  <c r="BV5" i="11"/>
  <c r="BU18" i="11"/>
  <c r="BU30" i="11"/>
  <c r="BU11" i="11"/>
  <c r="BU16" i="11"/>
  <c r="BU21" i="11"/>
  <c r="BU15" i="11"/>
  <c r="BU27" i="11"/>
  <c r="BU9" i="11"/>
  <c r="BU33" i="11"/>
  <c r="R18" i="11"/>
  <c r="R19" i="11"/>
  <c r="R11" i="11"/>
  <c r="R23" i="11"/>
  <c r="R16" i="11"/>
  <c r="R13" i="11"/>
  <c r="R10" i="11"/>
  <c r="R15" i="11"/>
  <c r="R12" i="11"/>
  <c r="R20" i="11"/>
  <c r="R26" i="11"/>
  <c r="R21" i="11"/>
  <c r="R30" i="11"/>
  <c r="R33" i="11"/>
  <c r="R31" i="11"/>
  <c r="R27" i="11"/>
  <c r="R28" i="11"/>
  <c r="R29" i="11"/>
  <c r="R7" i="11"/>
  <c r="R32" i="11"/>
  <c r="R25" i="11"/>
  <c r="R17" i="11"/>
  <c r="S10" i="11"/>
  <c r="R22" i="11"/>
  <c r="R9" i="11"/>
  <c r="R14" i="11"/>
  <c r="BV13" i="11" l="1"/>
  <c r="BV19" i="11"/>
  <c r="BV25" i="11"/>
  <c r="BV31" i="11"/>
  <c r="BW5" i="11"/>
  <c r="BV17" i="11"/>
  <c r="BV11" i="11"/>
  <c r="BV23" i="11"/>
  <c r="BV29" i="11"/>
  <c r="BV16" i="11"/>
  <c r="BV12" i="11"/>
  <c r="BV18" i="11"/>
  <c r="BV24" i="11"/>
  <c r="BV30" i="11"/>
  <c r="BV10" i="11"/>
  <c r="BV32" i="11"/>
  <c r="BV9" i="11"/>
  <c r="BV22" i="11"/>
  <c r="BV14" i="11"/>
  <c r="BV15" i="11"/>
  <c r="BV27" i="11"/>
  <c r="BV7" i="11"/>
  <c r="BV21" i="11"/>
  <c r="BV26" i="11"/>
  <c r="BV20" i="11"/>
  <c r="BV28" i="11"/>
  <c r="BV33" i="11"/>
  <c r="S28" i="11"/>
  <c r="S32" i="11"/>
  <c r="S7" i="11"/>
  <c r="S25" i="11"/>
  <c r="S33" i="11"/>
  <c r="S23" i="11"/>
  <c r="S13" i="11"/>
  <c r="S12" i="11"/>
  <c r="S20" i="11"/>
  <c r="S16" i="11"/>
  <c r="S29" i="11"/>
  <c r="S15" i="11"/>
  <c r="S11" i="11"/>
  <c r="S19" i="11"/>
  <c r="S17" i="11"/>
  <c r="S21" i="11"/>
  <c r="S26" i="11"/>
  <c r="S9" i="11"/>
  <c r="S24" i="11"/>
  <c r="S30" i="11"/>
  <c r="S18" i="11"/>
  <c r="S31" i="11"/>
  <c r="S14" i="11"/>
  <c r="S27" i="11"/>
  <c r="S22" i="11"/>
  <c r="T17" i="11"/>
  <c r="BW9" i="11" l="1"/>
  <c r="BW15" i="11"/>
  <c r="BW21" i="11"/>
  <c r="BW27" i="11"/>
  <c r="BW33" i="11"/>
  <c r="BW7" i="11"/>
  <c r="BW14" i="11"/>
  <c r="BW20" i="11"/>
  <c r="BW26" i="11"/>
  <c r="BW32" i="11"/>
  <c r="BW19" i="11"/>
  <c r="BW31" i="11"/>
  <c r="BW12" i="11"/>
  <c r="BW11" i="11"/>
  <c r="BW17" i="11"/>
  <c r="BW13" i="11"/>
  <c r="BW25" i="11"/>
  <c r="BW18" i="11"/>
  <c r="BW24" i="11"/>
  <c r="BW30" i="11"/>
  <c r="BW23" i="11"/>
  <c r="BW29" i="11"/>
  <c r="BX5" i="11"/>
  <c r="BW28" i="11"/>
  <c r="BW16" i="11"/>
  <c r="BW22" i="11"/>
  <c r="BW10" i="11"/>
  <c r="T11" i="11"/>
  <c r="T28" i="11"/>
  <c r="T7" i="11"/>
  <c r="T18" i="11"/>
  <c r="T16" i="11"/>
  <c r="T12" i="11"/>
  <c r="T10" i="11"/>
  <c r="T15" i="11"/>
  <c r="T14" i="11"/>
  <c r="T33" i="11"/>
  <c r="T25" i="11"/>
  <c r="T20" i="11"/>
  <c r="T32" i="11"/>
  <c r="T22" i="11"/>
  <c r="T21" i="11"/>
  <c r="T26" i="11"/>
  <c r="T23" i="11"/>
  <c r="T13" i="11"/>
  <c r="T27" i="11"/>
  <c r="T24" i="11"/>
  <c r="T31" i="11"/>
  <c r="T19" i="11"/>
  <c r="T29" i="11"/>
  <c r="T9" i="11"/>
  <c r="T30" i="11"/>
  <c r="BX7" i="11" l="1"/>
  <c r="BX14" i="11"/>
  <c r="BX20" i="11"/>
  <c r="BX26" i="11"/>
  <c r="BX32" i="11"/>
  <c r="BY5" i="11"/>
  <c r="BX12" i="11"/>
  <c r="BX18" i="11"/>
  <c r="BX24" i="11"/>
  <c r="BX11" i="11"/>
  <c r="BX13" i="11"/>
  <c r="BX19" i="11"/>
  <c r="BX25" i="11"/>
  <c r="BX31" i="11"/>
  <c r="BX30" i="11"/>
  <c r="BX17" i="11"/>
  <c r="BX29" i="11"/>
  <c r="BX22" i="11"/>
  <c r="BX15" i="11"/>
  <c r="BX28" i="11"/>
  <c r="BX21" i="11"/>
  <c r="BX10" i="11"/>
  <c r="BX23" i="11"/>
  <c r="BX16" i="11"/>
  <c r="BX27" i="11"/>
  <c r="BX9" i="11"/>
  <c r="BX33" i="11"/>
  <c r="U26" i="11"/>
  <c r="U9" i="11"/>
  <c r="U21" i="11"/>
  <c r="U19" i="11"/>
  <c r="U33" i="11"/>
  <c r="U14" i="11"/>
  <c r="U22" i="11"/>
  <c r="U15" i="11"/>
  <c r="U23" i="11"/>
  <c r="U31" i="11"/>
  <c r="U32" i="11"/>
  <c r="U10" i="11"/>
  <c r="U13" i="11"/>
  <c r="U12" i="11"/>
  <c r="U24" i="11"/>
  <c r="U20" i="11"/>
  <c r="U27" i="11"/>
  <c r="U16" i="11"/>
  <c r="U18" i="11"/>
  <c r="U11" i="11"/>
  <c r="U29" i="11"/>
  <c r="U30" i="11"/>
  <c r="U28" i="11"/>
  <c r="U7" i="11"/>
  <c r="U17" i="11"/>
  <c r="U25" i="11"/>
  <c r="V15" i="11"/>
  <c r="V18" i="11"/>
  <c r="V31" i="11"/>
  <c r="V29" i="11"/>
  <c r="V23" i="11"/>
  <c r="V7" i="11"/>
  <c r="V11" i="11"/>
  <c r="V16" i="11"/>
  <c r="V24" i="11"/>
  <c r="V27" i="11"/>
  <c r="V25" i="11"/>
  <c r="V12" i="11"/>
  <c r="V17" i="11"/>
  <c r="V14" i="11"/>
  <c r="V30" i="11"/>
  <c r="V13" i="11"/>
  <c r="V32" i="11"/>
  <c r="V19" i="11"/>
  <c r="V26" i="11"/>
  <c r="V28" i="11"/>
  <c r="V10" i="11"/>
  <c r="V33" i="11"/>
  <c r="V20" i="11"/>
  <c r="V9" i="11"/>
  <c r="V22" i="11"/>
  <c r="V21" i="11"/>
  <c r="BY10" i="11" l="1"/>
  <c r="BY16" i="11"/>
  <c r="BY22" i="11"/>
  <c r="BY28" i="11"/>
  <c r="BY9" i="11"/>
  <c r="BY15" i="11"/>
  <c r="BY21" i="11"/>
  <c r="BY27" i="11"/>
  <c r="BY33" i="11"/>
  <c r="BY14" i="11"/>
  <c r="BY26" i="11"/>
  <c r="BY19" i="11"/>
  <c r="BY25" i="11"/>
  <c r="BY31" i="11"/>
  <c r="BY12" i="11"/>
  <c r="BY24" i="11"/>
  <c r="BY30" i="11"/>
  <c r="BY7" i="11"/>
  <c r="BY20" i="11"/>
  <c r="BY32" i="11"/>
  <c r="BY13" i="11"/>
  <c r="BZ5" i="11"/>
  <c r="BY18" i="11"/>
  <c r="BY11" i="11"/>
  <c r="BY23" i="11"/>
  <c r="BY17" i="11"/>
  <c r="BY29" i="11"/>
  <c r="W17" i="11"/>
  <c r="W22" i="11"/>
  <c r="W31" i="11"/>
  <c r="W21" i="11"/>
  <c r="W28" i="11"/>
  <c r="W16" i="11"/>
  <c r="W18" i="11"/>
  <c r="W26" i="11"/>
  <c r="W10" i="11"/>
  <c r="W13" i="11"/>
  <c r="W4" i="11"/>
  <c r="W11" i="11"/>
  <c r="W14" i="11"/>
  <c r="W12" i="11"/>
  <c r="W9" i="11"/>
  <c r="W19" i="11"/>
  <c r="W25" i="11"/>
  <c r="W23" i="11"/>
  <c r="W27" i="11"/>
  <c r="W30" i="11"/>
  <c r="W29" i="11"/>
  <c r="W32" i="11"/>
  <c r="W15" i="11"/>
  <c r="W33" i="11"/>
  <c r="W7" i="11"/>
  <c r="W20" i="11"/>
  <c r="W24" i="11"/>
  <c r="BZ15" i="11" l="1"/>
  <c r="BZ21" i="11"/>
  <c r="BZ33" i="11"/>
  <c r="BZ19" i="11"/>
  <c r="BZ25" i="11"/>
  <c r="BZ31" i="11"/>
  <c r="BZ9" i="11"/>
  <c r="BZ27" i="11"/>
  <c r="BZ32" i="11"/>
  <c r="BZ13" i="11"/>
  <c r="BZ18" i="11"/>
  <c r="BZ7" i="11"/>
  <c r="BZ14" i="11"/>
  <c r="BZ20" i="11"/>
  <c r="BZ26" i="11"/>
  <c r="CA5" i="11"/>
  <c r="BZ12" i="11"/>
  <c r="BZ29" i="11"/>
  <c r="BZ11" i="11"/>
  <c r="BZ23" i="11"/>
  <c r="BZ16" i="11"/>
  <c r="BZ24" i="11"/>
  <c r="BZ17" i="11"/>
  <c r="BZ28" i="11"/>
  <c r="BZ10" i="11"/>
  <c r="BZ22" i="11"/>
  <c r="BZ30" i="11"/>
  <c r="X27" i="11"/>
  <c r="X22" i="11"/>
  <c r="X30" i="11"/>
  <c r="X15" i="11"/>
  <c r="X16" i="11"/>
  <c r="X24" i="11"/>
  <c r="X31" i="11"/>
  <c r="X26" i="11"/>
  <c r="X21" i="11"/>
  <c r="X23" i="11"/>
  <c r="X11" i="11"/>
  <c r="X29" i="11"/>
  <c r="X19" i="11"/>
  <c r="X10" i="11"/>
  <c r="X17" i="11"/>
  <c r="X25" i="11"/>
  <c r="X33" i="11"/>
  <c r="X32" i="11"/>
  <c r="X7" i="11"/>
  <c r="X18" i="11"/>
  <c r="X20" i="11"/>
  <c r="X28" i="11"/>
  <c r="X13" i="11"/>
  <c r="X9" i="11"/>
  <c r="X12" i="11"/>
  <c r="X14" i="11"/>
  <c r="CA11" i="11" l="1"/>
  <c r="CA17" i="11"/>
  <c r="CA23" i="11"/>
  <c r="CA29" i="11"/>
  <c r="CA10" i="11"/>
  <c r="CA16" i="11"/>
  <c r="CA22" i="11"/>
  <c r="CA28" i="11"/>
  <c r="CA9" i="11"/>
  <c r="CA21" i="11"/>
  <c r="CA33" i="11"/>
  <c r="CA14" i="11"/>
  <c r="CA13" i="11"/>
  <c r="CA19" i="11"/>
  <c r="CA15" i="11"/>
  <c r="CA27" i="11"/>
  <c r="CA7" i="11"/>
  <c r="CA26" i="11"/>
  <c r="CA32" i="11"/>
  <c r="CA25" i="11"/>
  <c r="CA31" i="11"/>
  <c r="CB5" i="11"/>
  <c r="CC5" i="11" s="1"/>
  <c r="CA20" i="11"/>
  <c r="CA24" i="11"/>
  <c r="CA30" i="11"/>
  <c r="CA12" i="11"/>
  <c r="CA18" i="11"/>
  <c r="Y19" i="11"/>
  <c r="Y10" i="11"/>
  <c r="Y14" i="11"/>
  <c r="Y21" i="11"/>
  <c r="Y20" i="11"/>
  <c r="Y29" i="11"/>
  <c r="Y28" i="11"/>
  <c r="Y32" i="11"/>
  <c r="Y15" i="11"/>
  <c r="Y30" i="11"/>
  <c r="Y17" i="11"/>
  <c r="Y13" i="11"/>
  <c r="Y22" i="11"/>
  <c r="Y11" i="11"/>
  <c r="Y12" i="11"/>
  <c r="Y25" i="11"/>
  <c r="Y31" i="11"/>
  <c r="Y33" i="11"/>
  <c r="Y16" i="11"/>
  <c r="Y9" i="11"/>
  <c r="Y27" i="11"/>
  <c r="Y24" i="11"/>
  <c r="Y23" i="11"/>
  <c r="Y26" i="11"/>
  <c r="Y7" i="11"/>
  <c r="Y18" i="11"/>
  <c r="CC7" i="11" l="1"/>
  <c r="CC9" i="11"/>
  <c r="CC10" i="11"/>
  <c r="CC11" i="11"/>
  <c r="CC12" i="11"/>
  <c r="CC13" i="11"/>
  <c r="CC14" i="11"/>
  <c r="CC15" i="11"/>
  <c r="CC16" i="11"/>
  <c r="CC17" i="11"/>
  <c r="CC18" i="11"/>
  <c r="CC19" i="11"/>
  <c r="CC20" i="11"/>
  <c r="CC21" i="11"/>
  <c r="CC22" i="11"/>
  <c r="CC23" i="11"/>
  <c r="CC24" i="11"/>
  <c r="CC25" i="11"/>
  <c r="CC26" i="11"/>
  <c r="CC27" i="11"/>
  <c r="CC28" i="11"/>
  <c r="CC29" i="11"/>
  <c r="CC30" i="11"/>
  <c r="CC31" i="11"/>
  <c r="CD5" i="11"/>
  <c r="CC33" i="11"/>
  <c r="CC32" i="11"/>
  <c r="CB10" i="11"/>
  <c r="CB22" i="11"/>
  <c r="CB28" i="11"/>
  <c r="CB7" i="11"/>
  <c r="CB14" i="11"/>
  <c r="CB16" i="11"/>
  <c r="CB20" i="11"/>
  <c r="CB26" i="11"/>
  <c r="CB32" i="11"/>
  <c r="CB9" i="11"/>
  <c r="CB15" i="11"/>
  <c r="CB21" i="11"/>
  <c r="CB27" i="11"/>
  <c r="CB33" i="11"/>
  <c r="CB12" i="11"/>
  <c r="CB13" i="11"/>
  <c r="CB29" i="11"/>
  <c r="CB11" i="11"/>
  <c r="CB23" i="11"/>
  <c r="CB31" i="11"/>
  <c r="CB24" i="11"/>
  <c r="CB17" i="11"/>
  <c r="CB25" i="11"/>
  <c r="CB18" i="11"/>
  <c r="CB30" i="11"/>
  <c r="CB19" i="11"/>
  <c r="Z30" i="11"/>
  <c r="Z11" i="11"/>
  <c r="Z24" i="11"/>
  <c r="Z16" i="11"/>
  <c r="Z17" i="11"/>
  <c r="Z7" i="11"/>
  <c r="Z18" i="11"/>
  <c r="Z10" i="11"/>
  <c r="Z22" i="11"/>
  <c r="Z26" i="11"/>
  <c r="Z9" i="11"/>
  <c r="Z28" i="11"/>
  <c r="Z25" i="11"/>
  <c r="Z21" i="11"/>
  <c r="Z31" i="11"/>
  <c r="Z23" i="11"/>
  <c r="Z19" i="11"/>
  <c r="Z20" i="11"/>
  <c r="Z33" i="11"/>
  <c r="Z15" i="11"/>
  <c r="Z13" i="11"/>
  <c r="Z12" i="11"/>
  <c r="Z27" i="11"/>
  <c r="Z14" i="11"/>
  <c r="Z29" i="11"/>
  <c r="Z32" i="11"/>
  <c r="CD7" i="11" l="1"/>
  <c r="CD9" i="11"/>
  <c r="CD10" i="11"/>
  <c r="CD11" i="11"/>
  <c r="CD12" i="11"/>
  <c r="CD13" i="11"/>
  <c r="CD14" i="11"/>
  <c r="CD15" i="11"/>
  <c r="CD16" i="11"/>
  <c r="CD17" i="11"/>
  <c r="CD18" i="11"/>
  <c r="CD19" i="11"/>
  <c r="CD20" i="11"/>
  <c r="CD21" i="11"/>
  <c r="CD22" i="11"/>
  <c r="CD23" i="11"/>
  <c r="CD24" i="11"/>
  <c r="CD25" i="11"/>
  <c r="CD26" i="11"/>
  <c r="CD27" i="11"/>
  <c r="CD28" i="11"/>
  <c r="CD29" i="11"/>
  <c r="CD30" i="11"/>
  <c r="CD31" i="11"/>
  <c r="CD32" i="11"/>
  <c r="CD33" i="11"/>
  <c r="CE5" i="11"/>
  <c r="AA21" i="11"/>
  <c r="AA26" i="11"/>
  <c r="AA11" i="11"/>
  <c r="AA30" i="11"/>
  <c r="AA10" i="11"/>
  <c r="AA22" i="11"/>
  <c r="AA28" i="11"/>
  <c r="AA18" i="11"/>
  <c r="AA13" i="11"/>
  <c r="AA12" i="11"/>
  <c r="AA29" i="11"/>
  <c r="AA24" i="11"/>
  <c r="AA23" i="11"/>
  <c r="AA31" i="11"/>
  <c r="AA9" i="11"/>
  <c r="AA27" i="11"/>
  <c r="AA17" i="11"/>
  <c r="AA15" i="11"/>
  <c r="AA25" i="11"/>
  <c r="AA32" i="11"/>
  <c r="AA7" i="11"/>
  <c r="AA14" i="11"/>
  <c r="AA16" i="11"/>
  <c r="AA33" i="11"/>
  <c r="AA20" i="11"/>
  <c r="AA19" i="11"/>
  <c r="CE7" i="11" l="1"/>
  <c r="CE9" i="11"/>
  <c r="CE10" i="11"/>
  <c r="CE11" i="11"/>
  <c r="CE12" i="11"/>
  <c r="CE13" i="11"/>
  <c r="CE14" i="11"/>
  <c r="CE15" i="11"/>
  <c r="CE16" i="11"/>
  <c r="CE17" i="11"/>
  <c r="CE18" i="11"/>
  <c r="CE19" i="11"/>
  <c r="CE20" i="11"/>
  <c r="CE21" i="11"/>
  <c r="CE22" i="11"/>
  <c r="CE23" i="11"/>
  <c r="CE24" i="11"/>
  <c r="CE25" i="11"/>
  <c r="CE26" i="11"/>
  <c r="CE27" i="11"/>
  <c r="CE28" i="11"/>
  <c r="CE29" i="11"/>
  <c r="CE30" i="11"/>
  <c r="CE31" i="11"/>
  <c r="CE32" i="11"/>
  <c r="CE33" i="11"/>
  <c r="CF5" i="11"/>
  <c r="AB31" i="11"/>
  <c r="AB25" i="11"/>
  <c r="AB32" i="11"/>
  <c r="AB27" i="11"/>
  <c r="AB10" i="11"/>
  <c r="AB11" i="11"/>
  <c r="AB7" i="11"/>
  <c r="AB28" i="11"/>
  <c r="AB29" i="11"/>
  <c r="AB13" i="11"/>
  <c r="AB30" i="11"/>
  <c r="AB12" i="11"/>
  <c r="AB22" i="11"/>
  <c r="AB18" i="11"/>
  <c r="AB21" i="11"/>
  <c r="AB14" i="11"/>
  <c r="AB16" i="11"/>
  <c r="AB9" i="11"/>
  <c r="AB15" i="11"/>
  <c r="AB23" i="11"/>
  <c r="AB33" i="11"/>
  <c r="AB26" i="11"/>
  <c r="AB17" i="11"/>
  <c r="AB24" i="11"/>
  <c r="AB19" i="11"/>
  <c r="AB20" i="11"/>
  <c r="CF7" i="11" l="1"/>
  <c r="CF9" i="11"/>
  <c r="CF10" i="11"/>
  <c r="CF11" i="11"/>
  <c r="CF12" i="11"/>
  <c r="CF13" i="11"/>
  <c r="CF14" i="11"/>
  <c r="CF15" i="11"/>
  <c r="CF16" i="11"/>
  <c r="CF17" i="11"/>
  <c r="CF18" i="11"/>
  <c r="CF19" i="11"/>
  <c r="CF20" i="11"/>
  <c r="CF21" i="11"/>
  <c r="CF22" i="11"/>
  <c r="CF23" i="11"/>
  <c r="CF24" i="11"/>
  <c r="CF25" i="11"/>
  <c r="CF26" i="11"/>
  <c r="CF27" i="11"/>
  <c r="CF28" i="11"/>
  <c r="CF29" i="11"/>
  <c r="CF30" i="11"/>
  <c r="CF31" i="11"/>
  <c r="CF32" i="11"/>
  <c r="CF33" i="11"/>
  <c r="CG5" i="11"/>
  <c r="AC18" i="11"/>
  <c r="AC27" i="11"/>
  <c r="AC19" i="11"/>
  <c r="AC24" i="11"/>
  <c r="AC28" i="11"/>
  <c r="AC32" i="11"/>
  <c r="AC9" i="11"/>
  <c r="AC12" i="11"/>
  <c r="AC33" i="11"/>
  <c r="AC30" i="11"/>
  <c r="AC11" i="11"/>
  <c r="AC13" i="11"/>
  <c r="AC14" i="11"/>
  <c r="AC17" i="11"/>
  <c r="AC7" i="11"/>
  <c r="AC10" i="11"/>
  <c r="AC21" i="11"/>
  <c r="AC29" i="11"/>
  <c r="AC23" i="11"/>
  <c r="AC22" i="11"/>
  <c r="AC31" i="11"/>
  <c r="AC16" i="11"/>
  <c r="AC15" i="11"/>
  <c r="AC26" i="11"/>
  <c r="AC20" i="11"/>
  <c r="AC25" i="11"/>
  <c r="CG16" i="11" l="1"/>
  <c r="CG26" i="11"/>
  <c r="CG28" i="11"/>
  <c r="CG31" i="11"/>
  <c r="CG33" i="11"/>
  <c r="CG14" i="11"/>
  <c r="CG17" i="11"/>
  <c r="CG18" i="11"/>
  <c r="CG19" i="11"/>
  <c r="CG20" i="11"/>
  <c r="CG21" i="11"/>
  <c r="CG22" i="11"/>
  <c r="CG27" i="11"/>
  <c r="CG30" i="11"/>
  <c r="CH5" i="11"/>
  <c r="CG7" i="11"/>
  <c r="CG9" i="11"/>
  <c r="CG10" i="11"/>
  <c r="CG11" i="11"/>
  <c r="CG12" i="11"/>
  <c r="CG13" i="11"/>
  <c r="CG15" i="11"/>
  <c r="CG23" i="11"/>
  <c r="CG24" i="11"/>
  <c r="CG25" i="11"/>
  <c r="CG29" i="11"/>
  <c r="CG32" i="11"/>
  <c r="AD29" i="11"/>
  <c r="AD15" i="11"/>
  <c r="AD4" i="11"/>
  <c r="AD32" i="11"/>
  <c r="AD20" i="11"/>
  <c r="AD23" i="11"/>
  <c r="AD10" i="11"/>
  <c r="AD25" i="11"/>
  <c r="AD24" i="11"/>
  <c r="AD11" i="11"/>
  <c r="AD13" i="11"/>
  <c r="AD30" i="11"/>
  <c r="AD19" i="11"/>
  <c r="AD17" i="11"/>
  <c r="AD16" i="11"/>
  <c r="AD26" i="11"/>
  <c r="AD28" i="11"/>
  <c r="AD14" i="11"/>
  <c r="AD18" i="11"/>
  <c r="AD7" i="11"/>
  <c r="AD33" i="11"/>
  <c r="AD21" i="11"/>
  <c r="AD9" i="11"/>
  <c r="AD27" i="11"/>
  <c r="AD22" i="11"/>
  <c r="AD12" i="11"/>
  <c r="AD31" i="11"/>
  <c r="CH7" i="11" l="1"/>
  <c r="CH13" i="11"/>
  <c r="CH15" i="11"/>
  <c r="CH9" i="11"/>
  <c r="CH10" i="11"/>
  <c r="CH14" i="11"/>
  <c r="CH16" i="11"/>
  <c r="CH11" i="11"/>
  <c r="CH12" i="11"/>
  <c r="CI5" i="11"/>
  <c r="CH22" i="11"/>
  <c r="CH28" i="11"/>
  <c r="CH23" i="11"/>
  <c r="CH29" i="11"/>
  <c r="CH31" i="11"/>
  <c r="CH17" i="11"/>
  <c r="CH33" i="11"/>
  <c r="CH18" i="11"/>
  <c r="CH30" i="11"/>
  <c r="CH25" i="11"/>
  <c r="CH20" i="11"/>
  <c r="CH26" i="11"/>
  <c r="CH24" i="11"/>
  <c r="CH19" i="11"/>
  <c r="CH32" i="11"/>
  <c r="CH21" i="11"/>
  <c r="CH27" i="11"/>
  <c r="AE13" i="11"/>
  <c r="AE14" i="11"/>
  <c r="AE26" i="11"/>
  <c r="AE15" i="11"/>
  <c r="AE27" i="11"/>
  <c r="AE16" i="11"/>
  <c r="AE28" i="11"/>
  <c r="AE17" i="11"/>
  <c r="AE29" i="11"/>
  <c r="AE30" i="11"/>
  <c r="AE31" i="11"/>
  <c r="AE20" i="11"/>
  <c r="AE32" i="11"/>
  <c r="AE21" i="11"/>
  <c r="AE33" i="11"/>
  <c r="AE22" i="11"/>
  <c r="AE23" i="11"/>
  <c r="AE12" i="11"/>
  <c r="AE24" i="11"/>
  <c r="AE25" i="11"/>
  <c r="AE18" i="11"/>
  <c r="AE19" i="11"/>
  <c r="AE11" i="11"/>
  <c r="AE9" i="11"/>
  <c r="AE7" i="11"/>
  <c r="AE10" i="11"/>
  <c r="CI7" i="11" l="1"/>
  <c r="CI9" i="11"/>
  <c r="CI10" i="11"/>
  <c r="CI11" i="11"/>
  <c r="CI12" i="11"/>
  <c r="CI13" i="11"/>
  <c r="CI14" i="11"/>
  <c r="CJ5" i="11"/>
  <c r="CI15" i="11"/>
  <c r="CI16" i="11"/>
  <c r="CI22" i="11"/>
  <c r="CI28" i="11"/>
  <c r="CI29" i="11"/>
  <c r="CI33" i="11"/>
  <c r="CI24" i="11"/>
  <c r="CI30" i="11"/>
  <c r="CI19" i="11"/>
  <c r="CI25" i="11"/>
  <c r="CI31" i="11"/>
  <c r="CI17" i="11"/>
  <c r="CI23" i="11"/>
  <c r="CI18" i="11"/>
  <c r="CI20" i="11"/>
  <c r="CI26" i="11"/>
  <c r="CI32" i="11"/>
  <c r="CI27" i="11"/>
  <c r="CI21" i="11"/>
  <c r="AF31" i="11"/>
  <c r="AF7" i="11"/>
  <c r="AF18" i="11"/>
  <c r="AF11" i="11"/>
  <c r="AF16" i="11"/>
  <c r="AF30" i="11"/>
  <c r="AF17" i="11"/>
  <c r="AF27" i="11"/>
  <c r="AF24" i="11"/>
  <c r="AF26" i="11"/>
  <c r="AF23" i="11"/>
  <c r="AF32" i="11"/>
  <c r="AF28" i="11"/>
  <c r="AF22" i="11"/>
  <c r="AF25" i="11"/>
  <c r="AF15" i="11"/>
  <c r="AF19" i="11"/>
  <c r="AF10" i="11"/>
  <c r="AF20" i="11"/>
  <c r="AF33" i="11"/>
  <c r="AF12" i="11"/>
  <c r="AF21" i="11"/>
  <c r="AF14" i="11"/>
  <c r="AF29" i="11"/>
  <c r="AF13" i="11"/>
  <c r="AF9" i="11"/>
  <c r="CJ21" i="11" l="1"/>
  <c r="CJ27" i="11"/>
  <c r="CJ32" i="11"/>
  <c r="CJ18" i="11"/>
  <c r="CJ7" i="11"/>
  <c r="CJ9" i="11"/>
  <c r="CJ10" i="11"/>
  <c r="CJ11" i="11"/>
  <c r="CJ12" i="11"/>
  <c r="CJ13" i="11"/>
  <c r="CJ14" i="11"/>
  <c r="CJ28" i="11"/>
  <c r="CJ33" i="11"/>
  <c r="CJ30" i="11"/>
  <c r="CK5" i="11"/>
  <c r="CJ15" i="11"/>
  <c r="CJ16" i="11"/>
  <c r="CJ22" i="11"/>
  <c r="CJ17" i="11"/>
  <c r="CJ23" i="11"/>
  <c r="CJ29" i="11"/>
  <c r="CJ19" i="11"/>
  <c r="CJ25" i="11"/>
  <c r="CJ24" i="11"/>
  <c r="CJ26" i="11"/>
  <c r="CJ20" i="11"/>
  <c r="CJ31" i="11"/>
  <c r="AG20" i="11"/>
  <c r="AG14" i="11"/>
  <c r="AG25" i="11"/>
  <c r="AG30" i="11"/>
  <c r="AG26" i="11"/>
  <c r="AG28" i="11"/>
  <c r="AG23" i="11"/>
  <c r="AG9" i="11"/>
  <c r="AG31" i="11"/>
  <c r="AG27" i="11"/>
  <c r="AG15" i="11"/>
  <c r="AG22" i="11"/>
  <c r="AG11" i="11"/>
  <c r="AG29" i="11"/>
  <c r="AG32" i="11"/>
  <c r="AG21" i="11"/>
  <c r="AG7" i="11"/>
  <c r="AG17" i="11"/>
  <c r="AG24" i="11"/>
  <c r="AG16" i="11"/>
  <c r="AG10" i="11"/>
  <c r="AG19" i="11"/>
  <c r="AG33" i="11"/>
  <c r="AG18" i="11"/>
  <c r="AG13" i="11"/>
  <c r="AG12" i="11"/>
  <c r="CK28" i="11" l="1"/>
  <c r="CK17" i="11"/>
  <c r="CK29" i="11"/>
  <c r="CK21" i="11"/>
  <c r="CK27" i="11"/>
  <c r="CK32" i="11"/>
  <c r="CK23" i="11"/>
  <c r="CK7" i="11"/>
  <c r="CK9" i="11"/>
  <c r="CK10" i="11"/>
  <c r="CK11" i="11"/>
  <c r="CK12" i="11"/>
  <c r="CK13" i="11"/>
  <c r="CK14" i="11"/>
  <c r="CK15" i="11"/>
  <c r="CK24" i="11"/>
  <c r="CK30" i="11"/>
  <c r="CL5" i="11"/>
  <c r="CK16" i="11"/>
  <c r="CK22" i="11"/>
  <c r="CK33" i="11"/>
  <c r="CK18" i="11"/>
  <c r="CK19" i="11"/>
  <c r="CK26" i="11"/>
  <c r="CK20" i="11"/>
  <c r="CK25" i="11"/>
  <c r="CK31" i="11"/>
  <c r="AH7" i="11"/>
  <c r="CL20" i="11" l="1"/>
  <c r="CL26" i="11"/>
  <c r="CL13" i="11"/>
  <c r="CM5" i="11"/>
  <c r="CL23" i="11"/>
  <c r="CL21" i="11"/>
  <c r="CL32" i="11"/>
  <c r="CL12" i="11"/>
  <c r="CL16" i="11"/>
  <c r="CL17" i="11"/>
  <c r="CL27" i="11"/>
  <c r="CL22" i="11"/>
  <c r="CL29" i="11"/>
  <c r="CL18" i="11"/>
  <c r="CL24" i="11"/>
  <c r="CL7" i="11"/>
  <c r="CL9" i="11"/>
  <c r="CL10" i="11"/>
  <c r="CL11" i="11"/>
  <c r="CL14" i="11"/>
  <c r="CL15" i="11"/>
  <c r="CL28" i="11"/>
  <c r="CL33" i="11"/>
  <c r="CL31" i="11"/>
  <c r="CL30" i="11"/>
  <c r="CL19" i="11"/>
  <c r="CL25" i="11"/>
  <c r="AI7" i="11"/>
  <c r="AH9" i="11"/>
  <c r="AH16" i="11"/>
  <c r="AH20" i="11"/>
  <c r="AH29" i="11"/>
  <c r="AH22" i="11"/>
  <c r="AH31" i="11"/>
  <c r="AH26" i="11"/>
  <c r="AH25" i="11"/>
  <c r="AH23" i="11"/>
  <c r="AH14" i="11"/>
  <c r="AH32" i="11"/>
  <c r="AH11" i="11"/>
  <c r="AH19" i="11"/>
  <c r="AH18" i="11"/>
  <c r="AH24" i="11"/>
  <c r="AH15" i="11"/>
  <c r="AH28" i="11"/>
  <c r="AH13" i="11"/>
  <c r="AH30" i="11"/>
  <c r="AH17" i="11"/>
  <c r="AH33" i="11"/>
  <c r="AH27" i="11"/>
  <c r="AH21" i="11"/>
  <c r="AH10" i="11"/>
  <c r="AH12" i="11"/>
  <c r="CM13" i="11" l="1"/>
  <c r="CM22" i="11"/>
  <c r="CM23" i="11"/>
  <c r="CM29" i="11"/>
  <c r="CM20" i="11"/>
  <c r="CM26" i="11"/>
  <c r="CM21" i="11"/>
  <c r="CM9" i="11"/>
  <c r="CM11" i="11"/>
  <c r="CM16" i="11"/>
  <c r="CM28" i="11"/>
  <c r="CM10" i="11"/>
  <c r="CM12" i="11"/>
  <c r="CM14" i="11"/>
  <c r="CN5" i="11"/>
  <c r="CM17" i="11"/>
  <c r="CM33" i="11"/>
  <c r="CM27" i="11"/>
  <c r="CM32" i="11"/>
  <c r="CM7" i="11"/>
  <c r="CM15" i="11"/>
  <c r="CM25" i="11"/>
  <c r="CM30" i="11"/>
  <c r="CM31" i="11"/>
  <c r="CM19" i="11"/>
  <c r="CM24" i="11"/>
  <c r="CM18" i="11"/>
  <c r="AJ7" i="11"/>
  <c r="AI9" i="11"/>
  <c r="AI25" i="11"/>
  <c r="AI19" i="11"/>
  <c r="AI27" i="11"/>
  <c r="AI26" i="11"/>
  <c r="AI21" i="11"/>
  <c r="AI30" i="11"/>
  <c r="AI29" i="11"/>
  <c r="AI17" i="11"/>
  <c r="AI28" i="11"/>
  <c r="AI32" i="11"/>
  <c r="AI12" i="11"/>
  <c r="AI20" i="11"/>
  <c r="AI24" i="11"/>
  <c r="AI13" i="11"/>
  <c r="AI16" i="11"/>
  <c r="AI18" i="11"/>
  <c r="AI31" i="11"/>
  <c r="AI10" i="11"/>
  <c r="AI23" i="11"/>
  <c r="AI15" i="11"/>
  <c r="AI14" i="11"/>
  <c r="AI11" i="11"/>
  <c r="AI33" i="11"/>
  <c r="AI22" i="11"/>
  <c r="CO5" i="11" l="1"/>
  <c r="CN19" i="11"/>
  <c r="CN25" i="11"/>
  <c r="CN31" i="11"/>
  <c r="CN32" i="11"/>
  <c r="CN9" i="11"/>
  <c r="CN15" i="11"/>
  <c r="CN21" i="11"/>
  <c r="CN27" i="11"/>
  <c r="CN10" i="11"/>
  <c r="CN22" i="11"/>
  <c r="CN20" i="11"/>
  <c r="CN26" i="11"/>
  <c r="CN14" i="11"/>
  <c r="CN17" i="11"/>
  <c r="CN7" i="11"/>
  <c r="CN11" i="11"/>
  <c r="CN12" i="11"/>
  <c r="CN13" i="11"/>
  <c r="CN16" i="11"/>
  <c r="CN28" i="11"/>
  <c r="CN23" i="11"/>
  <c r="CN24" i="11"/>
  <c r="CN33" i="11"/>
  <c r="CN29" i="11"/>
  <c r="CN18" i="11"/>
  <c r="CN30" i="11"/>
  <c r="AK7" i="11"/>
  <c r="AJ16" i="11"/>
  <c r="AJ13" i="11"/>
  <c r="AJ23" i="11"/>
  <c r="AJ33" i="11"/>
  <c r="AJ17" i="11"/>
  <c r="AJ31" i="11"/>
  <c r="AJ21" i="11"/>
  <c r="AJ11" i="11"/>
  <c r="AJ22" i="11"/>
  <c r="AJ18" i="11"/>
  <c r="AJ10" i="11"/>
  <c r="AJ27" i="11"/>
  <c r="AJ14" i="11"/>
  <c r="AJ29" i="11"/>
  <c r="AJ20" i="11"/>
  <c r="AJ26" i="11"/>
  <c r="AJ15" i="11"/>
  <c r="AJ19" i="11"/>
  <c r="AJ32" i="11"/>
  <c r="AJ9" i="11"/>
  <c r="AJ28" i="11"/>
  <c r="AJ12" i="11"/>
  <c r="AJ24" i="11"/>
  <c r="AJ30" i="11"/>
  <c r="AJ25" i="11"/>
  <c r="CO7" i="11" l="1"/>
  <c r="CO9" i="11"/>
  <c r="CO10" i="11"/>
  <c r="CO11" i="11"/>
  <c r="CO12" i="11"/>
  <c r="CO13" i="11"/>
  <c r="CO14" i="11"/>
  <c r="CO15" i="11"/>
  <c r="CO16" i="11"/>
  <c r="CO17" i="11"/>
  <c r="CO18" i="11"/>
  <c r="CO19" i="11"/>
  <c r="CO20" i="11"/>
  <c r="CO21" i="11"/>
  <c r="CO22" i="11"/>
  <c r="CO23" i="11"/>
  <c r="CO24" i="11"/>
  <c r="CO25" i="11"/>
  <c r="CO26" i="11"/>
  <c r="CO27" i="11"/>
  <c r="CO28" i="11"/>
  <c r="CO29" i="11"/>
  <c r="CO30" i="11"/>
  <c r="CP5" i="11"/>
  <c r="CO31" i="11"/>
  <c r="CO32" i="11"/>
  <c r="CO33" i="11"/>
  <c r="AL7" i="11"/>
  <c r="AK19" i="11"/>
  <c r="AK9" i="11"/>
  <c r="AK29" i="11"/>
  <c r="AK21" i="11"/>
  <c r="AK22" i="11"/>
  <c r="AK33" i="11"/>
  <c r="AK30" i="11"/>
  <c r="AK12" i="11"/>
  <c r="AK20" i="11"/>
  <c r="AK27" i="11"/>
  <c r="AK23" i="11"/>
  <c r="AK14" i="11"/>
  <c r="AK13" i="11"/>
  <c r="AK10" i="11"/>
  <c r="AK28" i="11"/>
  <c r="AK16" i="11"/>
  <c r="AK15" i="11"/>
  <c r="AK31" i="11"/>
  <c r="AK18" i="11"/>
  <c r="AK26" i="11"/>
  <c r="AK32" i="11"/>
  <c r="AK25" i="11"/>
  <c r="AK4" i="11"/>
  <c r="AK24" i="11"/>
  <c r="AK17" i="11"/>
  <c r="AK11" i="11"/>
  <c r="CP7" i="11" l="1"/>
  <c r="CP9" i="11"/>
  <c r="CP10" i="11"/>
  <c r="CP11" i="11"/>
  <c r="CP12" i="11"/>
  <c r="CP13" i="11"/>
  <c r="CP14" i="11"/>
  <c r="CP15" i="11"/>
  <c r="CP16" i="11"/>
  <c r="CP17" i="11"/>
  <c r="CP18" i="11"/>
  <c r="CP19" i="11"/>
  <c r="CP20" i="11"/>
  <c r="CP21" i="11"/>
  <c r="CP22" i="11"/>
  <c r="CP23" i="11"/>
  <c r="CP24" i="11"/>
  <c r="CP25" i="11"/>
  <c r="CP26" i="11"/>
  <c r="CP27" i="11"/>
  <c r="CP28" i="11"/>
  <c r="CP29" i="11"/>
  <c r="CP30" i="11"/>
  <c r="CP31" i="11"/>
  <c r="CP32" i="11"/>
  <c r="CP33" i="11"/>
  <c r="CQ5" i="11"/>
  <c r="AM7" i="11"/>
  <c r="AL32" i="11"/>
  <c r="AL25" i="11"/>
  <c r="AL26" i="11"/>
  <c r="AL20" i="11"/>
  <c r="AL13" i="11"/>
  <c r="AL29" i="11"/>
  <c r="AL11" i="11"/>
  <c r="AL30" i="11"/>
  <c r="AL33" i="11"/>
  <c r="AL22" i="11"/>
  <c r="AL15" i="11"/>
  <c r="AL27" i="11"/>
  <c r="AL17" i="11"/>
  <c r="AL16" i="11"/>
  <c r="AL18" i="11"/>
  <c r="AL14" i="11"/>
  <c r="AL21" i="11"/>
  <c r="AL23" i="11"/>
  <c r="AL12" i="11"/>
  <c r="AL24" i="11"/>
  <c r="AL10" i="11"/>
  <c r="AL28" i="11"/>
  <c r="AL9" i="11"/>
  <c r="AL31" i="11"/>
  <c r="AL19" i="11"/>
  <c r="CQ7" i="11" l="1"/>
  <c r="CQ9" i="11"/>
  <c r="CQ10" i="11"/>
  <c r="CQ11" i="11"/>
  <c r="CQ12" i="11"/>
  <c r="CQ13" i="11"/>
  <c r="CQ14" i="11"/>
  <c r="CQ15" i="11"/>
  <c r="CQ16" i="11"/>
  <c r="CQ17" i="11"/>
  <c r="CQ18" i="11"/>
  <c r="CQ19" i="11"/>
  <c r="CQ20" i="11"/>
  <c r="CQ21" i="11"/>
  <c r="CQ22" i="11"/>
  <c r="CQ23" i="11"/>
  <c r="CQ24" i="11"/>
  <c r="CQ25" i="11"/>
  <c r="CQ26" i="11"/>
  <c r="CQ27" i="11"/>
  <c r="CQ28" i="11"/>
  <c r="CQ29" i="11"/>
  <c r="CQ30" i="11"/>
  <c r="CQ31" i="11"/>
  <c r="CQ32" i="11"/>
  <c r="CQ33" i="11"/>
  <c r="CR5" i="11"/>
  <c r="AN7" i="11"/>
  <c r="AM11" i="11"/>
  <c r="AM12" i="11"/>
  <c r="AM22" i="11"/>
  <c r="AM31" i="11"/>
  <c r="AM19" i="11"/>
  <c r="AM28" i="11"/>
  <c r="AM21" i="11"/>
  <c r="AM14" i="11"/>
  <c r="AM9" i="11"/>
  <c r="AM27" i="11"/>
  <c r="AM32" i="11"/>
  <c r="AM33" i="11"/>
  <c r="AM13" i="11"/>
  <c r="AM30" i="11"/>
  <c r="AM29" i="11"/>
  <c r="AM23" i="11"/>
  <c r="AM10" i="11"/>
  <c r="AM18" i="11"/>
  <c r="AM20" i="11"/>
  <c r="AM24" i="11"/>
  <c r="AM26" i="11"/>
  <c r="AM17" i="11"/>
  <c r="AM25" i="11"/>
  <c r="AM15" i="11"/>
  <c r="AM16" i="11"/>
  <c r="CS5" i="11" l="1"/>
  <c r="CR7" i="11"/>
  <c r="CR9" i="11"/>
  <c r="CR10" i="11"/>
  <c r="CR11" i="11"/>
  <c r="CR12" i="11"/>
  <c r="CR13" i="11"/>
  <c r="CR14" i="11"/>
  <c r="CR15" i="11"/>
  <c r="CR16" i="11"/>
  <c r="CR17" i="11"/>
  <c r="CR18" i="11"/>
  <c r="CR19" i="11"/>
  <c r="CR20" i="11"/>
  <c r="CR21" i="11"/>
  <c r="CR22" i="11"/>
  <c r="CR23" i="11"/>
  <c r="CR24" i="11"/>
  <c r="CR25" i="11"/>
  <c r="CR26" i="11"/>
  <c r="CR27" i="11"/>
  <c r="CR28" i="11"/>
  <c r="CR29" i="11"/>
  <c r="CR30" i="11"/>
  <c r="CR31" i="11"/>
  <c r="CR32" i="11"/>
  <c r="CR33" i="11"/>
  <c r="AO7" i="11"/>
  <c r="AN26" i="11"/>
  <c r="AN12" i="11"/>
  <c r="AN25" i="11"/>
  <c r="AN15" i="11"/>
  <c r="AN21" i="11"/>
  <c r="AN16" i="11"/>
  <c r="AN28" i="11"/>
  <c r="AN10" i="11"/>
  <c r="AN27" i="11"/>
  <c r="AN17" i="11"/>
  <c r="AN32" i="11"/>
  <c r="AN20" i="11"/>
  <c r="AN23" i="11"/>
  <c r="AN9" i="11"/>
  <c r="AN33" i="11"/>
  <c r="AN22" i="11"/>
  <c r="AN24" i="11"/>
  <c r="AN13" i="11"/>
  <c r="AN30" i="11"/>
  <c r="AN14" i="11"/>
  <c r="AN31" i="11"/>
  <c r="AN11" i="11"/>
  <c r="AN19" i="11"/>
  <c r="AN29" i="11"/>
  <c r="AN18" i="11"/>
  <c r="CS22" i="11" l="1"/>
  <c r="CS29" i="11"/>
  <c r="CS7" i="11"/>
  <c r="CS9" i="11"/>
  <c r="CS10" i="11"/>
  <c r="CS11" i="11"/>
  <c r="CS12" i="11"/>
  <c r="CS15" i="11"/>
  <c r="CS23" i="11"/>
  <c r="CS24" i="11"/>
  <c r="CS25" i="11"/>
  <c r="CS28" i="11"/>
  <c r="CS31" i="11"/>
  <c r="CS32" i="11"/>
  <c r="CS13" i="11"/>
  <c r="CS14" i="11"/>
  <c r="CS16" i="11"/>
  <c r="CS17" i="11"/>
  <c r="CS18" i="11"/>
  <c r="CS19" i="11"/>
  <c r="CS20" i="11"/>
  <c r="CS21" i="11"/>
  <c r="CS26" i="11"/>
  <c r="CS27" i="11"/>
  <c r="CS30" i="11"/>
  <c r="CS33" i="11"/>
  <c r="CT5" i="11"/>
  <c r="CT4" i="11" s="1"/>
  <c r="AP7" i="11"/>
  <c r="AO27" i="11"/>
  <c r="AO30" i="11"/>
  <c r="AO13" i="11"/>
  <c r="AO31" i="11"/>
  <c r="AO17" i="11"/>
  <c r="AO25" i="11"/>
  <c r="AO29" i="11"/>
  <c r="AO18" i="11"/>
  <c r="AO19" i="11"/>
  <c r="AO32" i="11"/>
  <c r="AO14" i="11"/>
  <c r="AO10" i="11"/>
  <c r="AO28" i="11"/>
  <c r="AO9" i="11"/>
  <c r="AO33" i="11"/>
  <c r="AO12" i="11"/>
  <c r="AO16" i="11"/>
  <c r="AO11" i="11"/>
  <c r="AO20" i="11"/>
  <c r="AO26" i="11"/>
  <c r="AO21" i="11"/>
  <c r="AO15" i="11"/>
  <c r="AO22" i="11"/>
  <c r="AO23" i="11"/>
  <c r="AO24" i="11"/>
  <c r="CT10" i="11" l="1"/>
  <c r="CT11" i="11"/>
  <c r="CT12" i="11"/>
  <c r="CT15" i="11"/>
  <c r="CT7" i="11"/>
  <c r="CT9" i="11"/>
  <c r="CT13" i="11"/>
  <c r="CT31" i="11"/>
  <c r="CT20" i="11"/>
  <c r="CT16" i="11"/>
  <c r="CT19" i="11"/>
  <c r="CT25" i="11"/>
  <c r="CT26" i="11"/>
  <c r="CT32" i="11"/>
  <c r="CT28" i="11"/>
  <c r="CT21" i="11"/>
  <c r="CT27" i="11"/>
  <c r="CU5" i="11"/>
  <c r="CU15" i="11" s="1"/>
  <c r="CT14" i="11"/>
  <c r="CT22" i="11"/>
  <c r="CT33" i="11"/>
  <c r="CT23" i="11"/>
  <c r="CT29" i="11"/>
  <c r="CT17" i="11"/>
  <c r="CT24" i="11"/>
  <c r="CT18" i="11"/>
  <c r="CT30" i="11"/>
  <c r="AQ7" i="11"/>
  <c r="AP17" i="11"/>
  <c r="AP18" i="11"/>
  <c r="AP29" i="11"/>
  <c r="AP20" i="11"/>
  <c r="AP30" i="11"/>
  <c r="AP16" i="11"/>
  <c r="AP11" i="11"/>
  <c r="AP23" i="11"/>
  <c r="AP19" i="11"/>
  <c r="AP10" i="11"/>
  <c r="AP12" i="11"/>
  <c r="AP24" i="11"/>
  <c r="AP32" i="11"/>
  <c r="AP21" i="11"/>
  <c r="AP14" i="11"/>
  <c r="AP33" i="11"/>
  <c r="AP26" i="11"/>
  <c r="AP28" i="11"/>
  <c r="AP15" i="11"/>
  <c r="AP9" i="11"/>
  <c r="AP25" i="11"/>
  <c r="AP31" i="11"/>
  <c r="AP27" i="11"/>
  <c r="AP22" i="11"/>
  <c r="AP13" i="11"/>
  <c r="CU18" i="11" l="1"/>
  <c r="CU24" i="11"/>
  <c r="CU30" i="11"/>
  <c r="CU25" i="11"/>
  <c r="CU31" i="11"/>
  <c r="CU9" i="11"/>
  <c r="CU11" i="11"/>
  <c r="CU22" i="11"/>
  <c r="CU7" i="11"/>
  <c r="CU12" i="11"/>
  <c r="CU19" i="11"/>
  <c r="CU26" i="11"/>
  <c r="CU13" i="11"/>
  <c r="CU21" i="11"/>
  <c r="CU14" i="11"/>
  <c r="CU32" i="11"/>
  <c r="CU16" i="11"/>
  <c r="CU20" i="11"/>
  <c r="CU10" i="11"/>
  <c r="CU27" i="11"/>
  <c r="CV5" i="11"/>
  <c r="CU29" i="11"/>
  <c r="CU23" i="11"/>
  <c r="CU17" i="11"/>
  <c r="CU33" i="11"/>
  <c r="CU28" i="11"/>
  <c r="AR7" i="11"/>
  <c r="AQ25" i="11"/>
  <c r="AQ16" i="11"/>
  <c r="AQ20" i="11"/>
  <c r="AQ28" i="11"/>
  <c r="AQ12" i="11"/>
  <c r="AQ31" i="11"/>
  <c r="AQ33" i="11"/>
  <c r="AQ27" i="11"/>
  <c r="AQ24" i="11"/>
  <c r="AQ15" i="11"/>
  <c r="AQ26" i="11"/>
  <c r="AQ22" i="11"/>
  <c r="AQ14" i="11"/>
  <c r="AQ23" i="11"/>
  <c r="AQ11" i="11"/>
  <c r="AQ30" i="11"/>
  <c r="AQ29" i="11"/>
  <c r="AQ32" i="11"/>
  <c r="AQ17" i="11"/>
  <c r="AQ10" i="11"/>
  <c r="AQ9" i="11"/>
  <c r="AQ21" i="11"/>
  <c r="AQ18" i="11"/>
  <c r="AQ13" i="11"/>
  <c r="AQ19" i="11"/>
  <c r="CV33" i="11" l="1"/>
  <c r="CV9" i="11"/>
  <c r="CV18" i="11"/>
  <c r="CV24" i="11"/>
  <c r="CV30" i="11"/>
  <c r="CV10" i="11"/>
  <c r="CV21" i="11"/>
  <c r="CV27" i="11"/>
  <c r="CV31" i="11"/>
  <c r="CV26" i="11"/>
  <c r="CV7" i="11"/>
  <c r="CV11" i="11"/>
  <c r="CV13" i="11"/>
  <c r="CW5" i="11"/>
  <c r="CV14" i="11"/>
  <c r="CV15" i="11"/>
  <c r="CV19" i="11"/>
  <c r="CV25" i="11"/>
  <c r="CV20" i="11"/>
  <c r="CV12" i="11"/>
  <c r="CV22" i="11"/>
  <c r="CV16" i="11"/>
  <c r="CV17" i="11"/>
  <c r="CV28" i="11"/>
  <c r="CV29" i="11"/>
  <c r="CV23" i="11"/>
  <c r="CV32" i="11"/>
  <c r="AS7" i="11"/>
  <c r="AR28" i="11"/>
  <c r="AR11" i="11"/>
  <c r="AR22" i="11"/>
  <c r="AR21" i="11"/>
  <c r="AR12" i="11"/>
  <c r="AR27" i="11"/>
  <c r="AR24" i="11"/>
  <c r="AR29" i="11"/>
  <c r="AR4" i="11"/>
  <c r="AR15" i="11"/>
  <c r="AR16" i="11"/>
  <c r="AR9" i="11"/>
  <c r="AR13" i="11"/>
  <c r="AR30" i="11"/>
  <c r="AR14" i="11"/>
  <c r="AR31" i="11"/>
  <c r="AR25" i="11"/>
  <c r="AR20" i="11"/>
  <c r="AR17" i="11"/>
  <c r="AR19" i="11"/>
  <c r="AR32" i="11"/>
  <c r="AR23" i="11"/>
  <c r="AR18" i="11"/>
  <c r="AR33" i="11"/>
  <c r="AR26" i="11"/>
  <c r="AR10" i="11"/>
  <c r="CW17" i="11" l="1"/>
  <c r="CW23" i="11"/>
  <c r="CW29" i="11"/>
  <c r="CW25" i="11"/>
  <c r="CW26" i="11"/>
  <c r="CW10" i="11"/>
  <c r="CW33" i="11"/>
  <c r="CW30" i="11"/>
  <c r="CW9" i="11"/>
  <c r="CW18" i="11"/>
  <c r="CW24" i="11"/>
  <c r="CW19" i="11"/>
  <c r="CW31" i="11"/>
  <c r="CW11" i="11"/>
  <c r="CW12" i="11"/>
  <c r="CW13" i="11"/>
  <c r="CW21" i="11"/>
  <c r="CW27" i="11"/>
  <c r="CW20" i="11"/>
  <c r="CW7" i="11"/>
  <c r="CX5" i="11"/>
  <c r="CW15" i="11"/>
  <c r="CW28" i="11"/>
  <c r="CW16" i="11"/>
  <c r="CW14" i="11"/>
  <c r="CW22" i="11"/>
  <c r="CW32" i="11"/>
  <c r="AT7" i="11"/>
  <c r="AS22" i="11"/>
  <c r="AS20" i="11"/>
  <c r="AS30" i="11"/>
  <c r="AS27" i="11"/>
  <c r="AS24" i="11"/>
  <c r="AS13" i="11"/>
  <c r="AS10" i="11"/>
  <c r="AS18" i="11"/>
  <c r="AS21" i="11"/>
  <c r="AS31" i="11"/>
  <c r="AS29" i="11"/>
  <c r="AS15" i="11"/>
  <c r="AS17" i="11"/>
  <c r="AS23" i="11"/>
  <c r="AS11" i="11"/>
  <c r="AS16" i="11"/>
  <c r="AS14" i="11"/>
  <c r="AS32" i="11"/>
  <c r="AS12" i="11"/>
  <c r="AS28" i="11"/>
  <c r="AS26" i="11"/>
  <c r="AS25" i="11"/>
  <c r="AS19" i="11"/>
  <c r="AS9" i="11"/>
  <c r="AS33" i="11"/>
  <c r="CX33" i="11" l="1"/>
  <c r="CX17" i="11"/>
  <c r="CX23" i="11"/>
  <c r="CX29" i="11"/>
  <c r="CX24" i="11"/>
  <c r="CX30" i="11"/>
  <c r="CX20" i="11"/>
  <c r="CX18" i="11"/>
  <c r="CX19" i="11"/>
  <c r="CX25" i="11"/>
  <c r="CX31" i="11"/>
  <c r="CX26" i="11"/>
  <c r="CX11" i="11"/>
  <c r="CX22" i="11"/>
  <c r="CX7" i="11"/>
  <c r="CX12" i="11"/>
  <c r="CX13" i="11"/>
  <c r="CY5" i="11"/>
  <c r="CX15" i="11"/>
  <c r="CX28" i="11"/>
  <c r="CX27" i="11"/>
  <c r="CX32" i="11"/>
  <c r="CX16" i="11"/>
  <c r="CX9" i="11"/>
  <c r="CX21" i="11"/>
  <c r="CX14" i="11"/>
  <c r="CX10" i="11"/>
  <c r="AU7" i="11"/>
  <c r="AT9" i="11"/>
  <c r="AT24" i="11"/>
  <c r="AT21" i="11"/>
  <c r="AT15" i="11"/>
  <c r="AT23" i="11"/>
  <c r="AT33" i="11"/>
  <c r="AT29" i="11"/>
  <c r="AT26" i="11"/>
  <c r="AT16" i="11"/>
  <c r="AT20" i="11"/>
  <c r="AT31" i="11"/>
  <c r="AT10" i="11"/>
  <c r="AT13" i="11"/>
  <c r="AT28" i="11"/>
  <c r="AT22" i="11"/>
  <c r="AT18" i="11"/>
  <c r="AT32" i="11"/>
  <c r="AT14" i="11"/>
  <c r="AT27" i="11"/>
  <c r="AT25" i="11"/>
  <c r="AT17" i="11"/>
  <c r="AT19" i="11"/>
  <c r="AT11" i="11"/>
  <c r="AT12" i="11"/>
  <c r="AT30" i="11"/>
  <c r="CY16" i="11" l="1"/>
  <c r="CY22" i="11"/>
  <c r="CY28" i="11"/>
  <c r="CY18" i="11"/>
  <c r="CY19" i="11"/>
  <c r="CY25" i="11"/>
  <c r="CY17" i="11"/>
  <c r="CY23" i="11"/>
  <c r="CY29" i="11"/>
  <c r="CY33" i="11"/>
  <c r="CY24" i="11"/>
  <c r="CY26" i="11"/>
  <c r="CY30" i="11"/>
  <c r="CY31" i="11"/>
  <c r="CY20" i="11"/>
  <c r="CY15" i="11"/>
  <c r="CY12" i="11"/>
  <c r="CY32" i="11"/>
  <c r="CY21" i="11"/>
  <c r="CY11" i="11"/>
  <c r="CZ5" i="11"/>
  <c r="DA5" i="11" s="1"/>
  <c r="CY7" i="11"/>
  <c r="CY13" i="11"/>
  <c r="CY27" i="11"/>
  <c r="CY10" i="11"/>
  <c r="CY14" i="11"/>
  <c r="CY9" i="11"/>
  <c r="AV7" i="11"/>
  <c r="AU31" i="11"/>
  <c r="AU33" i="11"/>
  <c r="AU19" i="11"/>
  <c r="AU9" i="11"/>
  <c r="AU23" i="11"/>
  <c r="AU13" i="11"/>
  <c r="AU27" i="11"/>
  <c r="AU20" i="11"/>
  <c r="AU29" i="11"/>
  <c r="AU11" i="11"/>
  <c r="AU14" i="11"/>
  <c r="AU16" i="11"/>
  <c r="AU10" i="11"/>
  <c r="AU25" i="11"/>
  <c r="AU18" i="11"/>
  <c r="AU32" i="11"/>
  <c r="AU30" i="11"/>
  <c r="AU28" i="11"/>
  <c r="AU21" i="11"/>
  <c r="AU26" i="11"/>
  <c r="AU24" i="11"/>
  <c r="AU12" i="11"/>
  <c r="AU15" i="11"/>
  <c r="AU22" i="11"/>
  <c r="AU17" i="11"/>
  <c r="DA10" i="11" l="1"/>
  <c r="DA13" i="11"/>
  <c r="DA16" i="11"/>
  <c r="DA19" i="11"/>
  <c r="DA22" i="11"/>
  <c r="DA25" i="11"/>
  <c r="DA28" i="11"/>
  <c r="DA31" i="11"/>
  <c r="DA17" i="11"/>
  <c r="DB5" i="11"/>
  <c r="DA7" i="11"/>
  <c r="DA11" i="11"/>
  <c r="DA14" i="11"/>
  <c r="DA20" i="11"/>
  <c r="DA23" i="11"/>
  <c r="DA26" i="11"/>
  <c r="DA29" i="11"/>
  <c r="DA32" i="11"/>
  <c r="DA9" i="11"/>
  <c r="DA12" i="11"/>
  <c r="DA15" i="11"/>
  <c r="DA18" i="11"/>
  <c r="DA21" i="11"/>
  <c r="DA24" i="11"/>
  <c r="DA27" i="11"/>
  <c r="DA30" i="11"/>
  <c r="DA33" i="11"/>
  <c r="CZ14" i="11"/>
  <c r="CZ15" i="11"/>
  <c r="CZ32" i="11"/>
  <c r="CZ23" i="11"/>
  <c r="CZ16" i="11"/>
  <c r="CZ22" i="11"/>
  <c r="CZ28" i="11"/>
  <c r="CZ18" i="11"/>
  <c r="CZ19" i="11"/>
  <c r="CZ25" i="11"/>
  <c r="CZ17" i="11"/>
  <c r="CZ29" i="11"/>
  <c r="CZ33" i="11"/>
  <c r="CZ24" i="11"/>
  <c r="CZ30" i="11"/>
  <c r="CZ11" i="11"/>
  <c r="CZ31" i="11"/>
  <c r="CZ12" i="11"/>
  <c r="CZ21" i="11"/>
  <c r="CZ26" i="11"/>
  <c r="CZ7" i="11"/>
  <c r="CZ9" i="11"/>
  <c r="CZ27" i="11"/>
  <c r="CZ20" i="11"/>
  <c r="CZ13" i="11"/>
  <c r="CZ10" i="11"/>
  <c r="AW7" i="11"/>
  <c r="AV9" i="11"/>
  <c r="AV31" i="11"/>
  <c r="AV20" i="11"/>
  <c r="AV29" i="11"/>
  <c r="AV22" i="11"/>
  <c r="AV14" i="11"/>
  <c r="AV15" i="11"/>
  <c r="AV30" i="11"/>
  <c r="AV19" i="11"/>
  <c r="AV16" i="11"/>
  <c r="AV23" i="11"/>
  <c r="AV11" i="11"/>
  <c r="AV10" i="11"/>
  <c r="AV27" i="11"/>
  <c r="AV17" i="11"/>
  <c r="AV26" i="11"/>
  <c r="AV13" i="11"/>
  <c r="AV32" i="11"/>
  <c r="AV21" i="11"/>
  <c r="AV18" i="11"/>
  <c r="AV24" i="11"/>
  <c r="AV25" i="11"/>
  <c r="AV12" i="11"/>
  <c r="AV28" i="11"/>
  <c r="AV33" i="11"/>
  <c r="DB19" i="11" l="1"/>
  <c r="DB28" i="11"/>
  <c r="DB10" i="11"/>
  <c r="DB13" i="11"/>
  <c r="DB16" i="11"/>
  <c r="DB22" i="11"/>
  <c r="DB25" i="11"/>
  <c r="DB31" i="11"/>
  <c r="DB7" i="11"/>
  <c r="DB11" i="11"/>
  <c r="DB14" i="11"/>
  <c r="DB17" i="11"/>
  <c r="DB20" i="11"/>
  <c r="DB23" i="11"/>
  <c r="DB26" i="11"/>
  <c r="DB29" i="11"/>
  <c r="DB32" i="11"/>
  <c r="DB9" i="11"/>
  <c r="DB24" i="11"/>
  <c r="DB12" i="11"/>
  <c r="DB15" i="11"/>
  <c r="DB27" i="11"/>
  <c r="DB30" i="11"/>
  <c r="DB33" i="11"/>
  <c r="DB18" i="11"/>
  <c r="DB21" i="11"/>
  <c r="AX7" i="11"/>
  <c r="AW13" i="11"/>
  <c r="AW11" i="11"/>
  <c r="AW29" i="11"/>
  <c r="AW32" i="11"/>
  <c r="AW27" i="11"/>
  <c r="AW33" i="11"/>
  <c r="AW25" i="11"/>
  <c r="AW10" i="11"/>
  <c r="AW16" i="11"/>
  <c r="AW14" i="11"/>
  <c r="AW24" i="11"/>
  <c r="AW26" i="11"/>
  <c r="AW19" i="11"/>
  <c r="AW17" i="11"/>
  <c r="AW9" i="11"/>
  <c r="AW20" i="11"/>
  <c r="AW12" i="11"/>
  <c r="AW23" i="11"/>
  <c r="AW21" i="11"/>
  <c r="AW31" i="11"/>
  <c r="AW30" i="11"/>
  <c r="AW15" i="11"/>
  <c r="AW28" i="11"/>
  <c r="AW18" i="11"/>
  <c r="AW22" i="11"/>
  <c r="AY7" i="11" l="1"/>
  <c r="AX11" i="11"/>
  <c r="AX25" i="11"/>
  <c r="AX24" i="11"/>
  <c r="AX16" i="11"/>
  <c r="AX17" i="11"/>
  <c r="AX20" i="11"/>
  <c r="AX23" i="11"/>
  <c r="AX22" i="11"/>
  <c r="AX14" i="11"/>
  <c r="AX18" i="11"/>
  <c r="AX32" i="11"/>
  <c r="AX15" i="11"/>
  <c r="AX9" i="11"/>
  <c r="AX10" i="11"/>
  <c r="AX31" i="11"/>
  <c r="AX26" i="11"/>
  <c r="AX29" i="11"/>
  <c r="AX13" i="11"/>
  <c r="AX19" i="11"/>
  <c r="AX12" i="11"/>
  <c r="AX27" i="11"/>
  <c r="AX21" i="11"/>
  <c r="AX33" i="11"/>
  <c r="AX28" i="11"/>
  <c r="AX30" i="11"/>
  <c r="AZ7" i="11" l="1"/>
  <c r="AY13" i="11"/>
  <c r="AY9" i="11"/>
  <c r="AY30" i="11"/>
  <c r="AY26" i="11"/>
  <c r="AY17" i="11"/>
  <c r="AY15" i="11"/>
  <c r="AY18" i="11"/>
  <c r="AY27" i="11"/>
  <c r="AY32" i="11"/>
  <c r="AY20" i="11"/>
  <c r="AY23" i="11"/>
  <c r="AY19" i="11"/>
  <c r="AY28" i="11"/>
  <c r="AY16" i="11"/>
  <c r="AY22" i="11"/>
  <c r="AY11" i="11"/>
  <c r="AY33" i="11"/>
  <c r="AY25" i="11"/>
  <c r="AY12" i="11"/>
  <c r="AY24" i="11"/>
  <c r="AY29" i="11"/>
  <c r="AY31" i="11"/>
  <c r="AY14" i="11"/>
  <c r="AY4" i="11"/>
  <c r="AY21" i="11"/>
  <c r="AY10" i="11"/>
  <c r="BA7" i="11" l="1"/>
  <c r="AZ24" i="11"/>
  <c r="AZ14" i="11"/>
  <c r="AZ20" i="11"/>
  <c r="AZ15" i="11"/>
  <c r="AZ29" i="11"/>
  <c r="AZ25" i="11"/>
  <c r="AZ22" i="11"/>
  <c r="AZ11" i="11"/>
  <c r="AZ18" i="11"/>
  <c r="AZ12" i="11"/>
  <c r="AZ32" i="11"/>
  <c r="AZ33" i="11"/>
  <c r="AZ10" i="11"/>
  <c r="AZ21" i="11"/>
  <c r="AZ23" i="11"/>
  <c r="AZ28" i="11"/>
  <c r="AZ9" i="11"/>
  <c r="AZ16" i="11"/>
  <c r="AZ26" i="11"/>
  <c r="AZ31" i="11"/>
  <c r="AZ13" i="11"/>
  <c r="AZ19" i="11"/>
  <c r="AZ27" i="11"/>
  <c r="AZ17" i="11"/>
  <c r="AZ30" i="11"/>
  <c r="BB7" i="11" l="1"/>
  <c r="BA9" i="11"/>
  <c r="BA25" i="11"/>
  <c r="BA32" i="11"/>
  <c r="BA26" i="11"/>
  <c r="BA24" i="11"/>
  <c r="BA31" i="11"/>
  <c r="BA22" i="11"/>
  <c r="BA27" i="11"/>
  <c r="BA15" i="11"/>
  <c r="BA14" i="11"/>
  <c r="BA19" i="11"/>
  <c r="BA17" i="11"/>
  <c r="BA12" i="11"/>
  <c r="BA10" i="11"/>
  <c r="BA21" i="11"/>
  <c r="BA16" i="11"/>
  <c r="BA20" i="11"/>
  <c r="BA29" i="11"/>
  <c r="BA30" i="11"/>
  <c r="BA11" i="11"/>
  <c r="BA33" i="11"/>
  <c r="BA28" i="11"/>
  <c r="BA13" i="11"/>
  <c r="BA23" i="11"/>
  <c r="BA18" i="11"/>
  <c r="BC7" i="11" l="1"/>
  <c r="BB17" i="11"/>
  <c r="BB33" i="11"/>
  <c r="BB23" i="11"/>
  <c r="BB30" i="11"/>
  <c r="BB28" i="11"/>
  <c r="BB16" i="11"/>
  <c r="BB25" i="11"/>
  <c r="BB29" i="11"/>
  <c r="BB19" i="11"/>
  <c r="BB24" i="11"/>
  <c r="BB21" i="11"/>
  <c r="BB32" i="11"/>
  <c r="BB10" i="11"/>
  <c r="BB13" i="11"/>
  <c r="BB9" i="11"/>
  <c r="BB22" i="11"/>
  <c r="BB20" i="11"/>
  <c r="BB15" i="11"/>
  <c r="BB31" i="11"/>
  <c r="BB27" i="11"/>
  <c r="BB14" i="11"/>
  <c r="BB12" i="11"/>
  <c r="BB18" i="11"/>
  <c r="BB26" i="11"/>
  <c r="BB11" i="11"/>
  <c r="BD7" i="11" l="1"/>
  <c r="BC11" i="11"/>
  <c r="BC28" i="11"/>
  <c r="BC31" i="11"/>
  <c r="BC30" i="11"/>
  <c r="BC25" i="11"/>
  <c r="BC26" i="11"/>
  <c r="BC24" i="11"/>
  <c r="BC13" i="11"/>
  <c r="BC14" i="11"/>
  <c r="BC9" i="11"/>
  <c r="BC33" i="11"/>
  <c r="BC19" i="11"/>
  <c r="BC20" i="11"/>
  <c r="BC32" i="11"/>
  <c r="BC23" i="11"/>
  <c r="BC29" i="11"/>
  <c r="BC22" i="11"/>
  <c r="BC27" i="11"/>
  <c r="BC12" i="11"/>
  <c r="BC10" i="11"/>
  <c r="BC21" i="11"/>
  <c r="BC15" i="11"/>
  <c r="BC16" i="11"/>
  <c r="BC18" i="11"/>
  <c r="BC17" i="11"/>
  <c r="BE7" i="11" l="1"/>
  <c r="BD13" i="11"/>
  <c r="BD30" i="11"/>
  <c r="BD27" i="11"/>
  <c r="BD22" i="11"/>
  <c r="BD33" i="11"/>
  <c r="BD29" i="11"/>
  <c r="BD14" i="11"/>
  <c r="BD18" i="11"/>
  <c r="BD19" i="11"/>
  <c r="BD11" i="11"/>
  <c r="BD31" i="11"/>
  <c r="BD20" i="11"/>
  <c r="BD10" i="11"/>
  <c r="BD16" i="11"/>
  <c r="BD12" i="11"/>
  <c r="BD32" i="11"/>
  <c r="BD17" i="11"/>
  <c r="BD24" i="11"/>
  <c r="BD28" i="11"/>
  <c r="BD9" i="11"/>
  <c r="BD26" i="11"/>
  <c r="BD15" i="11"/>
  <c r="BD21" i="11"/>
  <c r="BD23" i="11"/>
  <c r="BD25" i="11"/>
  <c r="BE18" i="11" l="1"/>
  <c r="BE27" i="11"/>
  <c r="BE32" i="11"/>
  <c r="BE25" i="11"/>
  <c r="BE17" i="11"/>
  <c r="BE21" i="11"/>
  <c r="BE28" i="11"/>
  <c r="BE20" i="11"/>
  <c r="BE33" i="11"/>
  <c r="BE13" i="11"/>
  <c r="BE11" i="11"/>
  <c r="BE12" i="11"/>
  <c r="BE9" i="11"/>
  <c r="BE15" i="11"/>
  <c r="BE14" i="11"/>
  <c r="BE30" i="11"/>
  <c r="BE19" i="11"/>
  <c r="BE22" i="11"/>
  <c r="BE10" i="11"/>
  <c r="BE29" i="11"/>
  <c r="BE31" i="11"/>
  <c r="BE26" i="11"/>
  <c r="BE23" i="11"/>
  <c r="BE16" i="11"/>
  <c r="BE24" i="11"/>
  <c r="BF22" i="11" l="1"/>
  <c r="BF4" i="11"/>
  <c r="BF26" i="11"/>
  <c r="BF24" i="11"/>
  <c r="BF23" i="11"/>
  <c r="BF20" i="11"/>
  <c r="BF13" i="11"/>
  <c r="BF30" i="11"/>
  <c r="BF10" i="11"/>
  <c r="BF19" i="11"/>
  <c r="BF17" i="11"/>
  <c r="BF9" i="11"/>
  <c r="BF11" i="11"/>
  <c r="BF14" i="11"/>
  <c r="BF31" i="11"/>
  <c r="BF32" i="11"/>
  <c r="BF16" i="11"/>
  <c r="BF29" i="11"/>
  <c r="BF28" i="11"/>
  <c r="BF33" i="11"/>
  <c r="BF21" i="11"/>
  <c r="BF12" i="11"/>
  <c r="BF25" i="11"/>
  <c r="BF18" i="11"/>
  <c r="BF27" i="11"/>
  <c r="BF15" i="11"/>
  <c r="BG30" i="11" l="1"/>
  <c r="BG16" i="11"/>
  <c r="BG25" i="11"/>
  <c r="BG11" i="11"/>
  <c r="BG24" i="11"/>
  <c r="BG33" i="11"/>
  <c r="BG23" i="11"/>
  <c r="BG19" i="11"/>
  <c r="BG31" i="11"/>
  <c r="BG32" i="11"/>
  <c r="BG13" i="11"/>
  <c r="BG26" i="11"/>
  <c r="BG17" i="11"/>
  <c r="BG27" i="11"/>
  <c r="BG28" i="11"/>
  <c r="BG20" i="11"/>
  <c r="BG22" i="11"/>
  <c r="BG12" i="11"/>
  <c r="BG9" i="11"/>
  <c r="BG18" i="11"/>
  <c r="BG15" i="11"/>
  <c r="BG10" i="11"/>
  <c r="BG14" i="11"/>
  <c r="BG21" i="11"/>
  <c r="BG29" i="11"/>
  <c r="BH16" i="11" l="1"/>
  <c r="BH17" i="11"/>
  <c r="BH29" i="11"/>
  <c r="BH28" i="11"/>
  <c r="BH33" i="11"/>
  <c r="BH13" i="11"/>
  <c r="BH23" i="11"/>
  <c r="BH14" i="11"/>
  <c r="BH26" i="11"/>
  <c r="BH9" i="11"/>
  <c r="BH20" i="11"/>
  <c r="BH27" i="11"/>
  <c r="BH32" i="11"/>
  <c r="BH15" i="11"/>
  <c r="BH25" i="11"/>
  <c r="BH18" i="11"/>
  <c r="BH30" i="11"/>
  <c r="BH10" i="11"/>
  <c r="BH12" i="11"/>
  <c r="BH31" i="11"/>
  <c r="BH11" i="11"/>
  <c r="BH21" i="11"/>
  <c r="BH22" i="11"/>
  <c r="BH24" i="11"/>
  <c r="BH19" i="11"/>
  <c r="BI15" i="11" l="1"/>
  <c r="BI9" i="11"/>
  <c r="BI12" i="11"/>
  <c r="BI21" i="11"/>
  <c r="BI26" i="11"/>
  <c r="BI25" i="11"/>
  <c r="BI23" i="11"/>
  <c r="BI19" i="11"/>
  <c r="BI11" i="11"/>
  <c r="BI22" i="11"/>
  <c r="BI32" i="11"/>
  <c r="BI29" i="11"/>
  <c r="BI30" i="11"/>
  <c r="BI14" i="11"/>
  <c r="BI24" i="11"/>
  <c r="BI27" i="11"/>
  <c r="BI20" i="11"/>
  <c r="BI17" i="11"/>
  <c r="BI13" i="11"/>
  <c r="BI18" i="11"/>
  <c r="BI16" i="11"/>
  <c r="BI10" i="11"/>
  <c r="BI33" i="11"/>
  <c r="BI31" i="11"/>
  <c r="BI28" i="11"/>
  <c r="BJ13" i="11" l="1"/>
  <c r="BJ32" i="11"/>
  <c r="BJ15" i="11"/>
  <c r="BJ33" i="11"/>
  <c r="BJ29" i="11"/>
  <c r="BJ27" i="11"/>
  <c r="BJ10" i="11"/>
  <c r="BJ20" i="11"/>
  <c r="BJ22" i="11"/>
  <c r="BJ26" i="11"/>
  <c r="BJ17" i="11"/>
  <c r="BJ18" i="11"/>
  <c r="BJ14" i="11"/>
  <c r="BJ16" i="11"/>
  <c r="BJ9" i="11"/>
  <c r="BJ23" i="11"/>
  <c r="BJ28" i="11"/>
  <c r="BJ31" i="11"/>
  <c r="BJ30" i="11"/>
  <c r="BJ19" i="11"/>
  <c r="BJ21" i="11"/>
  <c r="BJ24" i="11"/>
  <c r="BJ11" i="11"/>
  <c r="BJ25" i="11"/>
  <c r="BJ12" i="11"/>
  <c r="BK28" i="11" l="1"/>
  <c r="BK29" i="11"/>
  <c r="BK27" i="11"/>
  <c r="BK23" i="11"/>
  <c r="BK32" i="11"/>
  <c r="BK20" i="11"/>
  <c r="BK17" i="11"/>
  <c r="BK22" i="11"/>
  <c r="BK21" i="11"/>
  <c r="BK30" i="11"/>
  <c r="BK14" i="11"/>
  <c r="BK26" i="11"/>
  <c r="BK9" i="11"/>
  <c r="BK19" i="11"/>
  <c r="BK31" i="11"/>
  <c r="BK11" i="11"/>
  <c r="BK25" i="11"/>
  <c r="BK10" i="11"/>
  <c r="BK16" i="11"/>
  <c r="BK13" i="11"/>
  <c r="BK12" i="11"/>
  <c r="BK15" i="11"/>
  <c r="BK24" i="11"/>
  <c r="BK33" i="11"/>
  <c r="BK18" i="11"/>
  <c r="BL20" i="11" l="1"/>
  <c r="BL11" i="11"/>
  <c r="BL31" i="11"/>
  <c r="BL30" i="11"/>
  <c r="BL32" i="11"/>
  <c r="BL16" i="11"/>
  <c r="BL10" i="11"/>
  <c r="BL29" i="11"/>
  <c r="BL23" i="11"/>
  <c r="BL15" i="11"/>
  <c r="BL12" i="11"/>
  <c r="BL22" i="11"/>
  <c r="BL26" i="11"/>
  <c r="BL33" i="11"/>
  <c r="BL25" i="11"/>
  <c r="BL9" i="11"/>
  <c r="BL19" i="11"/>
  <c r="BL17" i="11"/>
  <c r="BL13" i="11"/>
  <c r="BL21" i="11"/>
  <c r="BL14" i="11"/>
  <c r="BL18" i="11"/>
  <c r="BL28" i="11"/>
  <c r="BL24" i="11"/>
  <c r="BL27" i="11"/>
</calcChain>
</file>

<file path=xl/sharedStrings.xml><?xml version="1.0" encoding="utf-8"?>
<sst xmlns="http://schemas.openxmlformats.org/spreadsheetml/2006/main" count="98" uniqueCount="68">
  <si>
    <t>Cree un diagrama de Gantt en esta hoja de cálculo.
Escriba el título de este proyecto en la celda B1. 
El título de la leyenda se encuentra en la celda I1.
Para obtener información sobre cómo usar esta hoja de cálculo, incluidas las instrucciones para lectores de pantalla y el nombre del autor de este libro, vea la hoja de cálculo Información.
Desplácese hacia abajo por la columna A para escuchar más instrucciones.</t>
  </si>
  <si>
    <t>Escriba el nombre de la compañía en la celda B2.
Hay una leyenda en las celdas I2 a AC2.</t>
  </si>
  <si>
    <t>Escriba el nombre del responsable del proyecto en la celda B3. Escriba la fecha de inicio del proyecto en la celda F3, o bien deje que la fórmula de ejemplo encuentre el valor de fecha anterior en la tabla Datos de Gantt.  
Fecha de inicio del proyecto: la etiqueta se encuentra en la celda D3.</t>
  </si>
  <si>
    <t>Hay un incremento de desplazamiento en la celda F4. 
Los meses de las fechas en la fila 5 se muestran a partir de las celdas I4 a BL4.
No modifique estas celdas. Se actualizarán automáticamente basándose en la fecha de inicio del proyecto de la celda F3.</t>
  </si>
  <si>
    <t>Las celdas I5 a BL5 contienen el número de días del mes representado en el bloque de celdas encima de cada celda de fecha y se calculan automáticamente.
No modifique estas celdas.
La fecha actual está rodeada con una línea roja (hex. AD3815) desde la fecha actual en la fila 5 hasta toda la columna de fechas y el fin de la programación del proyecto.</t>
  </si>
  <si>
    <t>La barra de desplazamiento se encuentra en las celdas I6 a BL6. El incremento de páginas mediante los datos se define como 2 páginas cada vez y se puede configurar en las opciones de la barra de control. 
Para saltar hacia adelante o atrás en la escala de tiempo, escriba un valor de 0 o superior en la celda F4.
Un valor de 0 le llevará al principio del gráfico.</t>
  </si>
  <si>
    <t>Esta fila contiene los encabezados de la programación del proyecto posterior debajo de estos. 
Navegue desde la celda B7 a BL7 para escuchar el contenido. La primera letra de cada día de la semana de la fecha encima de ese encabezado empieza en la celda I7 y continúa hasta la celda BL7.
Todo el gráfico de la escala de tiempo del proyecto se genera automáticamente basándose en la categoría, la fecha de inicio y el número de días especificados en la tabla Hitos.</t>
  </si>
  <si>
    <t xml:space="preserve">No elimine esta fila. Esta fila está oculta para conservar una fórmula que se usa para resaltar el día actual dentro de la programación del proyecto. </t>
  </si>
  <si>
    <t>Especifique la información del proyecto desde la celda B9 a la celda G9. 
Los datos de ejemplo se encuentran en las celdas B9 a G33.
Escriba la descripción del hito, seleccione una categoría de la lista desplegable, asigne un usuario al elemento, escriba el progreso, la fecha de inicio y el número de días de la tarea para iniciar la representación en el gráfico.
La siguiente instrucción se encuentra en la celda A34.</t>
  </si>
  <si>
    <t>Esta es una fila vacía.</t>
  </si>
  <si>
    <t>Esta fila marca la finalización de los datos de hito de Gantt. NO escriba nada en esta fila. 
Para agregar más elementos, inserte filas nuevas encima de esta.</t>
  </si>
  <si>
    <t>TÍTULO DEL PROYECTO</t>
  </si>
  <si>
    <t>Descripción del hito</t>
  </si>
  <si>
    <t>Para agregar más datos, inserte filas nuevas ENCIMA de esta.</t>
  </si>
  <si>
    <t>Categoría</t>
  </si>
  <si>
    <t>Objetivo</t>
  </si>
  <si>
    <t>Hito</t>
  </si>
  <si>
    <t>Riesgo bajo</t>
  </si>
  <si>
    <t>Riesgo medio</t>
  </si>
  <si>
    <t>Riesgo alto</t>
  </si>
  <si>
    <t>Según lo previsto</t>
  </si>
  <si>
    <t>Fecha de inicio del proyecto:</t>
  </si>
  <si>
    <t>Incremento de desplazamiento:</t>
  </si>
  <si>
    <t>Asignado a</t>
  </si>
  <si>
    <t>Progreso</t>
  </si>
  <si>
    <t>Inicio</t>
  </si>
  <si>
    <t>Número de días</t>
  </si>
  <si>
    <t>Leyenda:</t>
  </si>
  <si>
    <t>Sin asignar</t>
  </si>
  <si>
    <t>Información sobre esta plantilla</t>
  </si>
  <si>
    <t xml:space="preserve">Esta plantilla proporciona una forma sencilla de crear un diagrama de Gantt para ayudarle a visualizar su proyecto y realizar un seguimiento de este. Solo tiene que especificar la descripción de las tareas, seleccionar una categoría (Objetivo, Hito, Según lo previsto, Riesgo bajo, Riesgo medio, Riesgo alto), indicar el progreso como porcentaje de finalización de la tarea, especificar una fecha de inicio y escribir el número de días necesarios para completar la tarea. Se rellenará el diagrama de Gantt y se codificará por colores para distinguir fácilmente las categorías. Una barra de desplazamiento le permite desplazarse por la escala de tiempo. Para insertar nuevas tareas, inserte filas nuevas.
</t>
  </si>
  <si>
    <t>Guía para lectores de pantalla</t>
  </si>
  <si>
    <t>Hay 2 hojas de cálculo en este libro. 
Diagrama de Gantt
Información
Las instrucciones de las hojas de cálculo se encuentran en la columna A de cada hoja, a partir de la celda A1. Están escritas con texto oculto. Cada paso le guiará a través de la información de esa fila. Los pasos posteriores continúan en la celda A2, A3, y así sucesivamente, a menos que se indique de forma explícita. Por ejemplo, el texto de una instrucción podría ser “Vaya a la celda A6” para continuar con el siguiente paso. 
Este texto oculto no se imprimirá.
Para quitar las instrucciones de la hoja de cálculo, es suficiente con eliminar la columna A.</t>
  </si>
  <si>
    <t>Esta es la última instrucción de esta hoja de cálculo.</t>
  </si>
  <si>
    <t>Elaboracion de Acta de reunion</t>
  </si>
  <si>
    <t>Sabores Los Huayachos: Desarrollo de un Sistema Web para la Gestión de Pedidos y Delivery Saludable</t>
  </si>
  <si>
    <r>
      <rPr>
        <b/>
        <sz val="14"/>
        <color theme="1"/>
        <rFont val="Calibri"/>
        <family val="2"/>
        <scheme val="minor"/>
      </rPr>
      <t>Responsable del proyecto:</t>
    </r>
    <r>
      <rPr>
        <sz val="14"/>
        <color theme="1"/>
        <rFont val="Calibri"/>
        <family val="2"/>
        <scheme val="minor"/>
      </rPr>
      <t xml:space="preserve"> Meza Narváez Aaron Emanuel</t>
    </r>
  </si>
  <si>
    <t>Aaron</t>
  </si>
  <si>
    <t>Análisis de requerimiento</t>
  </si>
  <si>
    <t>Aaron &amp; José</t>
  </si>
  <si>
    <t>Levantamiento de información</t>
  </si>
  <si>
    <t>Kevin &amp; Irvin</t>
  </si>
  <si>
    <t>Definición de alcance del sistema</t>
  </si>
  <si>
    <t>Planificación del cronograma</t>
  </si>
  <si>
    <t>Diseño del Sistema</t>
  </si>
  <si>
    <t>Planificación y Análisis</t>
  </si>
  <si>
    <t>Diseño conceptual y wireframes</t>
  </si>
  <si>
    <t>Kevin</t>
  </si>
  <si>
    <t>Arquitectura de la información</t>
  </si>
  <si>
    <t>Modelo entidad–relación (BD)</t>
  </si>
  <si>
    <t>José</t>
  </si>
  <si>
    <t>Prototipado en Balsamiq / Figma</t>
  </si>
  <si>
    <t>Irvin</t>
  </si>
  <si>
    <t>Validación del diseño con usuario</t>
  </si>
  <si>
    <t>Desarrollo e Implementación</t>
  </si>
  <si>
    <t>Implementación Frontend (HTML, CSS, JavaScript, Bootstrap, AJAX)</t>
  </si>
  <si>
    <t>Implementación Backend con Spring Boot (Java) bajo arquitectura MVC</t>
  </si>
  <si>
    <t>Diseño y conexión de Base de Datos con JPA/Hibernate + MySQL</t>
  </si>
  <si>
    <t>Integración de APIs REST (Spring Boot) con el Frontend</t>
  </si>
  <si>
    <t>Kevin &amp; José</t>
  </si>
  <si>
    <t>Pruebas unitarias e integración (JUnit, Postman)</t>
  </si>
  <si>
    <t>Pruebas, Capacitación y Entrega</t>
  </si>
  <si>
    <t>Pruebas integrales del sistema</t>
  </si>
  <si>
    <t>Capacitación a usuarios (admin y repartidores)</t>
  </si>
  <si>
    <t>Optimización de rendimiento</t>
  </si>
  <si>
    <t>Entrega final del sistema</t>
  </si>
  <si>
    <t>Aaron &amp; Todo el equipo</t>
  </si>
  <si>
    <t>Presentación y documentación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</si>
</sst>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164" formatCode="_-* #,##0\ &quot;€&quot;_-;\-* #,##0\ &quot;€&quot;_-;_-* &quot;-&quot;\ &quot;€&quot;_-;_-@_-"/>
    <numFmt numFmtId="165" formatCode="_-* #,##0.00\ &quot;€&quot;_-;\-* #,##0.00\ &quot;€&quot;_-;_-* &quot;-&quot;??\ &quot;€&quot;_-;_-@_-"/>
    <numFmt numFmtId="166" formatCode="_(* #,##0.00_);_(* \(#,##0.00\);_(* &quot;-&quot;??_);_(@_)"/>
    <numFmt numFmtId="167" formatCode="d"/>
    <numFmt numFmtId="168" formatCode="#,##0_ ;\-#,##0\ "/>
  </numFmts>
  <fonts count="34" x14ac:knownFonts="1">
    <font>
      <sz val="11"/>
      <color theme="1"/>
      <name val="Calibri"/>
      <family val="2"/>
      <scheme val="minor"/>
    </font>
    <font>
      <b/>
      <sz val="20"/>
      <color theme="4" tint="-0.249977111117893"/>
      <name val="Calibri"/>
      <family val="2"/>
      <scheme val="major"/>
    </font>
    <font>
      <sz val="10"/>
      <name val="Calibri"/>
      <family val="2"/>
      <scheme val="minor"/>
    </font>
    <font>
      <u/>
      <sz val="11"/>
      <color indexed="12"/>
      <name val="Arial"/>
      <family val="2"/>
    </font>
    <font>
      <sz val="11"/>
      <name val="Calibri"/>
      <family val="2"/>
      <scheme val="minor"/>
    </font>
    <font>
      <b/>
      <sz val="11"/>
      <color theme="1"/>
      <name val="Calibri"/>
      <family val="2"/>
      <scheme val="minor"/>
    </font>
    <font>
      <sz val="11"/>
      <color theme="1"/>
      <name val="Calibri"/>
      <family val="2"/>
      <scheme val="minor"/>
    </font>
    <font>
      <sz val="14"/>
      <color theme="1"/>
      <name val="Calibri"/>
      <family val="2"/>
      <scheme val="minor"/>
    </font>
    <font>
      <b/>
      <sz val="22"/>
      <color theme="1" tint="0.34998626667073579"/>
      <name val="Calibri"/>
      <family val="2"/>
      <scheme val="major"/>
    </font>
    <font>
      <b/>
      <sz val="11"/>
      <color theme="1" tint="0.499984740745262"/>
      <name val="Calibri"/>
      <family val="2"/>
      <scheme val="minor"/>
    </font>
    <font>
      <sz val="10"/>
      <color theme="1" tint="0.499984740745262"/>
      <name val="Arial"/>
      <family val="2"/>
    </font>
    <font>
      <sz val="20"/>
      <name val="Calibri"/>
      <family val="2"/>
      <scheme val="major"/>
    </font>
    <font>
      <sz val="11"/>
      <color rgb="FF1D2129"/>
      <name val="Calibri"/>
      <family val="2"/>
      <scheme val="minor"/>
    </font>
    <font>
      <b/>
      <sz val="16"/>
      <color theme="4" tint="-0.249977111117893"/>
      <name val="Calibri"/>
      <family val="2"/>
      <scheme val="major"/>
    </font>
    <font>
      <sz val="11"/>
      <color theme="0"/>
      <name val="Calibri"/>
      <family val="2"/>
      <scheme val="minor"/>
    </font>
    <font>
      <b/>
      <sz val="10"/>
      <color theme="0"/>
      <name val="Calibri"/>
      <family val="2"/>
      <scheme val="minor"/>
    </font>
    <font>
      <sz val="10"/>
      <color theme="0"/>
      <name val="Calibri"/>
      <family val="2"/>
      <scheme val="minor"/>
    </font>
    <font>
      <b/>
      <sz val="14"/>
      <name val="Calibri"/>
      <family val="2"/>
      <scheme val="minor"/>
    </font>
    <font>
      <b/>
      <sz val="14"/>
      <color theme="0"/>
      <name val="Calibri"/>
      <family val="2"/>
      <scheme val="minor"/>
    </font>
    <font>
      <sz val="16"/>
      <color theme="1"/>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4"/>
      <color theme="1"/>
      <name val="Calibri"/>
      <family val="2"/>
      <scheme val="minor"/>
    </font>
    <font>
      <sz val="16"/>
      <color theme="0"/>
      <name val="Calibri"/>
      <family val="2"/>
      <scheme val="minor"/>
    </font>
    <font>
      <b/>
      <sz val="16"/>
      <color theme="1"/>
      <name val="Calibri"/>
      <family val="2"/>
      <scheme val="minor"/>
    </font>
  </fonts>
  <fills count="41">
    <fill>
      <patternFill patternType="none"/>
    </fill>
    <fill>
      <patternFill patternType="gray125"/>
    </fill>
    <fill>
      <patternFill patternType="solid">
        <fgColor theme="0" tint="-4.9989318521683403E-2"/>
        <bgColor indexed="64"/>
      </patternFill>
    </fill>
    <fill>
      <patternFill patternType="solid">
        <fgColor theme="1" tint="0.34998626667073579"/>
        <bgColor indexed="64"/>
      </patternFill>
    </fill>
    <fill>
      <patternFill patternType="solid">
        <fgColor theme="1" tint="0.34998626667073579"/>
        <bgColor theme="4"/>
      </patternFill>
    </fill>
    <fill>
      <patternFill patternType="solid">
        <fgColor theme="2" tint="-9.9978637043366805E-2"/>
        <bgColor indexed="64"/>
      </patternFill>
    </fill>
    <fill>
      <patternFill patternType="solid">
        <fgColor theme="4"/>
        <bgColor indexed="64"/>
      </patternFill>
    </fill>
    <fill>
      <patternFill patternType="solid">
        <fgColor theme="6"/>
        <bgColor indexed="64"/>
      </patternFill>
    </fill>
    <fill>
      <patternFill patternType="solid">
        <fgColor theme="7" tint="-0.249977111117893"/>
        <bgColor indexed="64"/>
      </patternFill>
    </fill>
    <fill>
      <patternFill patternType="solid">
        <fgColor theme="9" tint="-0.249977111117893"/>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9">
    <border>
      <left/>
      <right/>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top/>
      <bottom/>
      <diagonal/>
    </border>
    <border>
      <left/>
      <right style="thin">
        <color theme="0" tint="-0.34998626667073579"/>
      </right>
      <top/>
      <bottom/>
      <diagonal/>
    </border>
    <border>
      <left style="thin">
        <color theme="0" tint="-0.34998626667073579"/>
      </left>
      <right style="thin">
        <color theme="0" tint="-0.34998626667073579"/>
      </right>
      <top/>
      <bottom style="medium">
        <color theme="0" tint="-0.14996795556505021"/>
      </bottom>
      <diagonal/>
    </border>
    <border>
      <left style="thin">
        <color theme="0" tint="-0.249977111117893"/>
      </left>
      <right/>
      <top/>
      <bottom/>
      <diagonal/>
    </border>
    <border>
      <left style="thin">
        <color theme="0" tint="-0.249977111117893"/>
      </left>
      <right/>
      <top style="thin">
        <color theme="0" tint="-0.249977111117893"/>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style="thin">
        <color theme="6" tint="0.39997558519241921"/>
      </left>
      <right style="thin">
        <color theme="6" tint="0.39997558519241921"/>
      </right>
      <top style="thin">
        <color theme="6" tint="0.39997558519241921"/>
      </top>
      <bottom style="thin">
        <color theme="6" tint="0.39997558519241921"/>
      </bottom>
      <diagonal/>
    </border>
    <border>
      <left style="thin">
        <color theme="0" tint="-0.14993743705557422"/>
      </left>
      <right style="thin">
        <color theme="0" tint="-0.14993743705557422"/>
      </right>
      <top style="medium">
        <color theme="0" tint="-0.14996795556505021"/>
      </top>
      <bottom/>
      <diagonal/>
    </border>
    <border>
      <left style="thin">
        <color theme="0" tint="-0.14993743705557422"/>
      </left>
      <right style="thin">
        <color theme="0" tint="-0.14993743705557422"/>
      </right>
      <top/>
      <bottom style="medium">
        <color theme="0" tint="-0.14996795556505021"/>
      </bottom>
      <diagonal/>
    </border>
    <border>
      <left style="thin">
        <color theme="0" tint="-0.249977111117893"/>
      </left>
      <right style="thin">
        <color theme="0" tint="-0.249977111117893"/>
      </right>
      <top style="thin">
        <color theme="0" tint="-0.249977111117893"/>
      </top>
      <bottom style="thin">
        <color theme="0" tint="-0.249977111117893"/>
      </bottom>
      <diagonal/>
    </border>
    <border>
      <left/>
      <right style="thin">
        <color theme="0" tint="-0.14993743705557422"/>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50">
    <xf numFmtId="0" fontId="0" fillId="0" borderId="0"/>
    <xf numFmtId="0" fontId="3" fillId="0" borderId="0" applyNumberFormat="0" applyFill="0" applyBorder="0" applyAlignment="0" applyProtection="0">
      <alignment vertical="top"/>
      <protection locked="0"/>
    </xf>
    <xf numFmtId="9" fontId="6" fillId="0" borderId="0" applyFont="0" applyFill="0" applyBorder="0" applyProtection="0">
      <alignment horizontal="center" vertical="center"/>
    </xf>
    <xf numFmtId="0" fontId="14" fillId="0" borderId="0"/>
    <xf numFmtId="166" fontId="6" fillId="0" borderId="1" applyFont="0" applyFill="0" applyAlignment="0" applyProtection="0"/>
    <xf numFmtId="0" fontId="8" fillId="0" borderId="0" applyNumberFormat="0" applyFill="0" applyBorder="0" applyAlignment="0" applyProtection="0"/>
    <xf numFmtId="0" fontId="7" fillId="0" borderId="0" applyNumberFormat="0" applyFill="0" applyAlignment="0" applyProtection="0"/>
    <xf numFmtId="0" fontId="7" fillId="0" borderId="0" applyNumberFormat="0" applyFill="0" applyProtection="0">
      <alignment vertical="top"/>
    </xf>
    <xf numFmtId="0" fontId="6" fillId="0" borderId="0" applyNumberFormat="0" applyFill="0" applyProtection="0">
      <alignment horizontal="right" vertical="center" indent="1"/>
    </xf>
    <xf numFmtId="14" fontId="6" fillId="0" borderId="0" applyFont="0" applyFill="0" applyBorder="0">
      <alignment horizontal="center" vertical="center"/>
    </xf>
    <xf numFmtId="168" fontId="6" fillId="0" borderId="0" applyFont="0" applyFill="0" applyBorder="0" applyProtection="0">
      <alignment horizontal="center" vertical="center"/>
    </xf>
    <xf numFmtId="165" fontId="6" fillId="0" borderId="0" applyFont="0" applyFill="0" applyBorder="0" applyAlignment="0" applyProtection="0"/>
    <xf numFmtId="164" fontId="6" fillId="0" borderId="0" applyFont="0" applyFill="0" applyBorder="0" applyAlignment="0" applyProtection="0"/>
    <xf numFmtId="0" fontId="20" fillId="0" borderId="0" applyNumberFormat="0" applyFill="0" applyBorder="0" applyAlignment="0" applyProtection="0"/>
    <xf numFmtId="0" fontId="21" fillId="10" borderId="0" applyNumberFormat="0" applyBorder="0" applyAlignment="0" applyProtection="0"/>
    <xf numFmtId="0" fontId="22" fillId="11" borderId="0" applyNumberFormat="0" applyBorder="0" applyAlignment="0" applyProtection="0"/>
    <xf numFmtId="0" fontId="23" fillId="12" borderId="0" applyNumberFormat="0" applyBorder="0" applyAlignment="0" applyProtection="0"/>
    <xf numFmtId="0" fontId="24" fillId="13" borderId="13" applyNumberFormat="0" applyAlignment="0" applyProtection="0"/>
    <xf numFmtId="0" fontId="25" fillId="14" borderId="14" applyNumberFormat="0" applyAlignment="0" applyProtection="0"/>
    <xf numFmtId="0" fontId="26" fillId="14" borderId="13" applyNumberFormat="0" applyAlignment="0" applyProtection="0"/>
    <xf numFmtId="0" fontId="27" fillId="0" borderId="15" applyNumberFormat="0" applyFill="0" applyAlignment="0" applyProtection="0"/>
    <xf numFmtId="0" fontId="28" fillId="15" borderId="16" applyNumberFormat="0" applyAlignment="0" applyProtection="0"/>
    <xf numFmtId="0" fontId="29" fillId="0" borderId="0" applyNumberFormat="0" applyFill="0" applyBorder="0" applyAlignment="0" applyProtection="0"/>
    <xf numFmtId="0" fontId="6" fillId="16" borderId="17" applyNumberFormat="0" applyFont="0" applyAlignment="0" applyProtection="0"/>
    <xf numFmtId="0" fontId="30" fillId="0" borderId="0" applyNumberFormat="0" applyFill="0" applyBorder="0" applyAlignment="0" applyProtection="0"/>
    <xf numFmtId="0" fontId="5" fillId="0" borderId="18" applyNumberFormat="0" applyFill="0" applyAlignment="0" applyProtection="0"/>
    <xf numFmtId="0" fontId="14" fillId="17" borderId="0" applyNumberFormat="0" applyBorder="0" applyAlignment="0" applyProtection="0"/>
    <xf numFmtId="0" fontId="6" fillId="18" borderId="0" applyNumberFormat="0" applyBorder="0" applyAlignment="0" applyProtection="0"/>
    <xf numFmtId="0" fontId="6" fillId="19" borderId="0" applyNumberFormat="0" applyBorder="0" applyAlignment="0" applyProtection="0"/>
    <xf numFmtId="0" fontId="6" fillId="20" borderId="0" applyNumberFormat="0" applyBorder="0" applyAlignment="0" applyProtection="0"/>
    <xf numFmtId="0" fontId="14" fillId="21" borderId="0" applyNumberFormat="0" applyBorder="0" applyAlignment="0" applyProtection="0"/>
    <xf numFmtId="0" fontId="6" fillId="22" borderId="0" applyNumberFormat="0" applyBorder="0" applyAlignment="0" applyProtection="0"/>
    <xf numFmtId="0" fontId="6" fillId="23" borderId="0" applyNumberFormat="0" applyBorder="0" applyAlignment="0" applyProtection="0"/>
    <xf numFmtId="0" fontId="6" fillId="24" borderId="0" applyNumberFormat="0" applyBorder="0" applyAlignment="0" applyProtection="0"/>
    <xf numFmtId="0" fontId="14" fillId="25" borderId="0" applyNumberFormat="0" applyBorder="0" applyAlignment="0" applyProtection="0"/>
    <xf numFmtId="0" fontId="6" fillId="26" borderId="0" applyNumberFormat="0" applyBorder="0" applyAlignment="0" applyProtection="0"/>
    <xf numFmtId="0" fontId="6" fillId="27" borderId="0" applyNumberFormat="0" applyBorder="0" applyAlignment="0" applyProtection="0"/>
    <xf numFmtId="0" fontId="6" fillId="28" borderId="0" applyNumberFormat="0" applyBorder="0" applyAlignment="0" applyProtection="0"/>
    <xf numFmtId="0" fontId="14" fillId="29" borderId="0" applyNumberFormat="0" applyBorder="0" applyAlignment="0" applyProtection="0"/>
    <xf numFmtId="0" fontId="6" fillId="30" borderId="0" applyNumberFormat="0" applyBorder="0" applyAlignment="0" applyProtection="0"/>
    <xf numFmtId="0" fontId="6" fillId="31" borderId="0" applyNumberFormat="0" applyBorder="0" applyAlignment="0" applyProtection="0"/>
    <xf numFmtId="0" fontId="6" fillId="32" borderId="0" applyNumberFormat="0" applyBorder="0" applyAlignment="0" applyProtection="0"/>
    <xf numFmtId="0" fontId="14" fillId="33" borderId="0" applyNumberFormat="0" applyBorder="0" applyAlignment="0" applyProtection="0"/>
    <xf numFmtId="0" fontId="6" fillId="34" borderId="0" applyNumberFormat="0" applyBorder="0" applyAlignment="0" applyProtection="0"/>
    <xf numFmtId="0" fontId="6" fillId="35" borderId="0" applyNumberFormat="0" applyBorder="0" applyAlignment="0" applyProtection="0"/>
    <xf numFmtId="0" fontId="6" fillId="36" borderId="0" applyNumberFormat="0" applyBorder="0" applyAlignment="0" applyProtection="0"/>
    <xf numFmtId="0" fontId="14" fillId="37" borderId="0" applyNumberFormat="0" applyBorder="0" applyAlignment="0" applyProtection="0"/>
    <xf numFmtId="0" fontId="6" fillId="38" borderId="0" applyNumberFormat="0" applyBorder="0" applyAlignment="0" applyProtection="0"/>
    <xf numFmtId="0" fontId="6" fillId="39" borderId="0" applyNumberFormat="0" applyBorder="0" applyAlignment="0" applyProtection="0"/>
    <xf numFmtId="0" fontId="6" fillId="40" borderId="0" applyNumberFormat="0" applyBorder="0" applyAlignment="0" applyProtection="0"/>
  </cellStyleXfs>
  <cellXfs count="65">
    <xf numFmtId="0" fontId="0" fillId="0" borderId="0" xfId="0"/>
    <xf numFmtId="0" fontId="1" fillId="0" borderId="0" xfId="0" applyFont="1" applyAlignment="1">
      <alignment horizontal="left"/>
    </xf>
    <xf numFmtId="0" fontId="0" fillId="0" borderId="0" xfId="0" applyAlignment="1">
      <alignment vertical="center"/>
    </xf>
    <xf numFmtId="0" fontId="0" fillId="0" borderId="0" xfId="0" applyAlignment="1">
      <alignment horizontal="center"/>
    </xf>
    <xf numFmtId="0" fontId="0" fillId="0" borderId="0" xfId="0" applyAlignment="1">
      <alignment horizontal="right" vertical="center"/>
    </xf>
    <xf numFmtId="0" fontId="9" fillId="0" borderId="0" xfId="0" applyFont="1"/>
    <xf numFmtId="0" fontId="10" fillId="0" borderId="0" xfId="1" applyFont="1" applyAlignment="1" applyProtection="1"/>
    <xf numFmtId="0" fontId="2" fillId="0" borderId="0" xfId="0" applyFont="1" applyAlignment="1">
      <alignment horizontal="center" vertical="center"/>
    </xf>
    <xf numFmtId="0" fontId="2" fillId="0" borderId="0" xfId="0" applyFont="1"/>
    <xf numFmtId="0" fontId="11" fillId="0" borderId="0" xfId="0" applyFont="1"/>
    <xf numFmtId="0" fontId="2" fillId="0" borderId="0" xfId="0" applyFont="1" applyAlignment="1">
      <alignment vertical="top"/>
    </xf>
    <xf numFmtId="0" fontId="13" fillId="0" borderId="0" xfId="0" applyFont="1" applyAlignment="1">
      <alignment vertical="center"/>
    </xf>
    <xf numFmtId="0" fontId="12" fillId="0" borderId="0" xfId="0" applyFont="1" applyAlignment="1">
      <alignment horizontal="left" vertical="top" wrapText="1" indent="1"/>
    </xf>
    <xf numFmtId="0" fontId="0" fillId="0" borderId="0" xfId="0" applyAlignment="1">
      <alignment vertical="top" wrapText="1"/>
    </xf>
    <xf numFmtId="0" fontId="14" fillId="0" borderId="0" xfId="3"/>
    <xf numFmtId="0" fontId="14" fillId="0" borderId="0" xfId="3" applyAlignment="1">
      <alignment wrapText="1"/>
    </xf>
    <xf numFmtId="0" fontId="14" fillId="0" borderId="0" xfId="0" applyFont="1" applyAlignment="1">
      <alignment horizontal="center"/>
    </xf>
    <xf numFmtId="0" fontId="8" fillId="0" borderId="0" xfId="5" applyAlignment="1">
      <alignment horizontal="left"/>
    </xf>
    <xf numFmtId="0" fontId="0" fillId="0" borderId="5" xfId="0" applyBorder="1"/>
    <xf numFmtId="0" fontId="0" fillId="2" borderId="0" xfId="0" applyFill="1"/>
    <xf numFmtId="0" fontId="16" fillId="3" borderId="4" xfId="0" applyFont="1" applyFill="1" applyBorder="1" applyAlignment="1">
      <alignment horizontal="center" vertical="center" shrinkToFit="1"/>
    </xf>
    <xf numFmtId="0" fontId="4" fillId="0" borderId="0" xfId="0" applyFont="1" applyAlignment="1">
      <alignment horizontal="center" vertical="center"/>
    </xf>
    <xf numFmtId="0" fontId="15" fillId="4" borderId="0" xfId="0" applyFont="1" applyFill="1" applyAlignment="1">
      <alignment horizontal="center" vertical="center" wrapText="1"/>
    </xf>
    <xf numFmtId="0" fontId="0" fillId="0" borderId="0" xfId="0" applyAlignment="1">
      <alignment horizontal="left" vertical="center" indent="1"/>
    </xf>
    <xf numFmtId="0" fontId="0" fillId="0" borderId="0" xfId="0" applyAlignment="1">
      <alignment horizontal="center" vertical="center" wrapText="1"/>
    </xf>
    <xf numFmtId="9" fontId="0" fillId="0" borderId="0" xfId="2" applyFont="1">
      <alignment horizontal="center" vertical="center"/>
    </xf>
    <xf numFmtId="14" fontId="0" fillId="0" borderId="0" xfId="9" applyFont="1">
      <alignment horizontal="center" vertical="center"/>
    </xf>
    <xf numFmtId="168" fontId="0" fillId="0" borderId="0" xfId="10" applyFont="1">
      <alignment horizontal="center" vertical="center"/>
    </xf>
    <xf numFmtId="0" fontId="0" fillId="0" borderId="0" xfId="0" applyAlignment="1">
      <alignment horizontal="center" vertical="center"/>
    </xf>
    <xf numFmtId="0" fontId="0" fillId="0" borderId="9" xfId="0" applyBorder="1" applyAlignment="1">
      <alignment vertical="center"/>
    </xf>
    <xf numFmtId="0" fontId="0" fillId="2" borderId="10" xfId="0" applyFill="1" applyBorder="1" applyAlignment="1">
      <alignment horizontal="center" vertical="center"/>
    </xf>
    <xf numFmtId="0" fontId="0" fillId="0" borderId="8" xfId="0" applyBorder="1" applyAlignment="1">
      <alignment horizontal="center" vertical="center"/>
    </xf>
    <xf numFmtId="0" fontId="7" fillId="0" borderId="0" xfId="7" applyAlignment="1"/>
    <xf numFmtId="0" fontId="0" fillId="2" borderId="0" xfId="0" applyFill="1" applyAlignment="1">
      <alignment horizontal="center"/>
    </xf>
    <xf numFmtId="0" fontId="19" fillId="0" borderId="0" xfId="0" applyFont="1"/>
    <xf numFmtId="0" fontId="0" fillId="0" borderId="11" xfId="0" applyBorder="1" applyAlignment="1">
      <alignment horizontal="center" vertical="center"/>
    </xf>
    <xf numFmtId="0" fontId="2" fillId="3" borderId="2" xfId="0" applyFont="1" applyFill="1" applyBorder="1" applyAlignment="1">
      <alignment horizontal="center" vertical="center"/>
    </xf>
    <xf numFmtId="0" fontId="2" fillId="3" borderId="0" xfId="0" applyFont="1" applyFill="1" applyAlignment="1">
      <alignment horizontal="center" vertical="center"/>
    </xf>
    <xf numFmtId="0" fontId="2" fillId="3" borderId="3" xfId="0" applyFont="1" applyFill="1" applyBorder="1" applyAlignment="1">
      <alignment horizontal="center" vertical="center"/>
    </xf>
    <xf numFmtId="0" fontId="4" fillId="2" borderId="12" xfId="0" applyFont="1" applyFill="1" applyBorder="1" applyAlignment="1">
      <alignment horizontal="center" vertical="center"/>
    </xf>
    <xf numFmtId="0" fontId="4" fillId="0" borderId="0" xfId="0" applyFont="1" applyAlignment="1">
      <alignment vertical="top"/>
    </xf>
    <xf numFmtId="167" fontId="16" fillId="3" borderId="2" xfId="0" applyNumberFormat="1" applyFont="1" applyFill="1" applyBorder="1" applyAlignment="1">
      <alignment horizontal="center" vertical="center"/>
    </xf>
    <xf numFmtId="167" fontId="16" fillId="3" borderId="0" xfId="0" applyNumberFormat="1" applyFont="1" applyFill="1" applyAlignment="1">
      <alignment horizontal="center" vertical="center"/>
    </xf>
    <xf numFmtId="167" fontId="16" fillId="3" borderId="3" xfId="0" applyNumberFormat="1" applyFont="1" applyFill="1" applyBorder="1" applyAlignment="1">
      <alignment horizontal="center" vertical="center"/>
    </xf>
    <xf numFmtId="0" fontId="0" fillId="0" borderId="0" xfId="0" applyAlignment="1">
      <alignment horizontal="left" vertical="center" wrapText="1" indent="2"/>
    </xf>
    <xf numFmtId="0" fontId="32" fillId="0" borderId="0" xfId="3" applyFont="1" applyAlignment="1">
      <alignment wrapText="1"/>
    </xf>
    <xf numFmtId="0" fontId="33" fillId="0" borderId="0" xfId="0" applyFont="1" applyAlignment="1">
      <alignment horizontal="left" vertical="center" wrapText="1" indent="1"/>
    </xf>
    <xf numFmtId="0" fontId="19" fillId="0" borderId="0" xfId="0" applyFont="1" applyAlignment="1">
      <alignment horizontal="center" vertical="center"/>
    </xf>
    <xf numFmtId="0" fontId="19" fillId="0" borderId="0" xfId="0" applyFont="1" applyAlignment="1">
      <alignment horizontal="left" vertical="center" wrapText="1" indent="2"/>
    </xf>
    <xf numFmtId="9" fontId="19" fillId="0" borderId="0" xfId="2" applyFont="1">
      <alignment horizontal="center" vertical="center"/>
    </xf>
    <xf numFmtId="14" fontId="19" fillId="0" borderId="0" xfId="9" applyFont="1">
      <alignment horizontal="center" vertical="center"/>
    </xf>
    <xf numFmtId="168" fontId="19" fillId="0" borderId="0" xfId="10" applyFont="1">
      <alignment horizontal="center" vertical="center"/>
    </xf>
    <xf numFmtId="0" fontId="32" fillId="0" borderId="0" xfId="3" applyFont="1"/>
    <xf numFmtId="0" fontId="7" fillId="0" borderId="0" xfId="6" applyAlignment="1">
      <alignment horizontal="center" vertical="center" wrapText="1"/>
    </xf>
    <xf numFmtId="0" fontId="0" fillId="0" borderId="0" xfId="8" applyFont="1">
      <alignment horizontal="right" vertical="center" indent="1"/>
    </xf>
    <xf numFmtId="0" fontId="6" fillId="0" borderId="0" xfId="8">
      <alignment horizontal="right" vertical="center" indent="1"/>
    </xf>
    <xf numFmtId="0" fontId="0" fillId="0" borderId="0" xfId="0"/>
    <xf numFmtId="14" fontId="6" fillId="0" borderId="6" xfId="9" applyBorder="1">
      <alignment horizontal="center" vertical="center"/>
    </xf>
    <xf numFmtId="14" fontId="6" fillId="0" borderId="7" xfId="9" applyBorder="1">
      <alignment horizontal="center" vertical="center"/>
    </xf>
    <xf numFmtId="0" fontId="7" fillId="0" borderId="0" xfId="7" applyAlignment="1">
      <alignment horizontal="center" vertical="center" wrapText="1"/>
    </xf>
    <xf numFmtId="0" fontId="17" fillId="5" borderId="0" xfId="0" applyFont="1" applyFill="1" applyAlignment="1">
      <alignment horizontal="center" vertical="center"/>
    </xf>
    <xf numFmtId="0" fontId="18" fillId="8" borderId="0" xfId="0" applyFont="1" applyFill="1" applyAlignment="1">
      <alignment horizontal="center" vertical="center"/>
    </xf>
    <xf numFmtId="0" fontId="18" fillId="9" borderId="0" xfId="0" applyFont="1" applyFill="1" applyAlignment="1">
      <alignment horizontal="center" vertical="center"/>
    </xf>
    <xf numFmtId="0" fontId="17" fillId="7" borderId="0" xfId="0" applyFont="1" applyFill="1" applyAlignment="1">
      <alignment horizontal="center" vertical="center"/>
    </xf>
    <xf numFmtId="0" fontId="18" fillId="6" borderId="0" xfId="0" applyFont="1" applyFill="1" applyAlignment="1">
      <alignment horizontal="center" vertical="center"/>
    </xf>
  </cellXfs>
  <cellStyles count="50">
    <cellStyle name="20% - Énfasis1" xfId="27" builtinId="30" customBuiltin="1"/>
    <cellStyle name="20% - Énfasis2" xfId="31" builtinId="34" customBuiltin="1"/>
    <cellStyle name="20% - Énfasis3" xfId="35" builtinId="38" customBuiltin="1"/>
    <cellStyle name="20% - Énfasis4" xfId="39" builtinId="42" customBuiltin="1"/>
    <cellStyle name="20% - Énfasis5" xfId="43" builtinId="46" customBuiltin="1"/>
    <cellStyle name="20% - Énfasis6" xfId="47" builtinId="50" customBuiltin="1"/>
    <cellStyle name="40% - Énfasis1" xfId="28" builtinId="31" customBuiltin="1"/>
    <cellStyle name="40% - Énfasis2" xfId="32" builtinId="35" customBuiltin="1"/>
    <cellStyle name="40% - Énfasis3" xfId="36" builtinId="39" customBuiltin="1"/>
    <cellStyle name="40% - Énfasis4" xfId="40" builtinId="43" customBuiltin="1"/>
    <cellStyle name="40% - Énfasis5" xfId="44" builtinId="47" customBuiltin="1"/>
    <cellStyle name="40% - Énfasis6" xfId="48" builtinId="51" customBuiltin="1"/>
    <cellStyle name="60% - Énfasis1" xfId="29" builtinId="32" customBuiltin="1"/>
    <cellStyle name="60% - Énfasis2" xfId="33" builtinId="36" customBuiltin="1"/>
    <cellStyle name="60% - Énfasis3" xfId="37" builtinId="40" customBuiltin="1"/>
    <cellStyle name="60% - Énfasis4" xfId="41" builtinId="44" customBuiltin="1"/>
    <cellStyle name="60% - Énfasis5" xfId="45" builtinId="48" customBuiltin="1"/>
    <cellStyle name="60% - Énfasis6" xfId="49" builtinId="52" customBuiltin="1"/>
    <cellStyle name="Bueno" xfId="14" builtinId="26" customBuiltin="1"/>
    <cellStyle name="Cálculo" xfId="19" builtinId="22" customBuiltin="1"/>
    <cellStyle name="Celda de comprobación" xfId="21" builtinId="23" customBuiltin="1"/>
    <cellStyle name="Celda vinculada" xfId="20" builtinId="24" customBuiltin="1"/>
    <cellStyle name="Encabezado 1" xfId="6" builtinId="16" customBuiltin="1"/>
    <cellStyle name="Encabezado 4" xfId="13" builtinId="19" customBuiltin="1"/>
    <cellStyle name="Énfasis1" xfId="26" builtinId="29" customBuiltin="1"/>
    <cellStyle name="Énfasis2" xfId="30" builtinId="33" customBuiltin="1"/>
    <cellStyle name="Énfasis3" xfId="34" builtinId="37" customBuiltin="1"/>
    <cellStyle name="Énfasis4" xfId="38" builtinId="41" customBuiltin="1"/>
    <cellStyle name="Énfasis5" xfId="42" builtinId="45" customBuiltin="1"/>
    <cellStyle name="Énfasis6" xfId="46" builtinId="49" customBuiltin="1"/>
    <cellStyle name="Entrada" xfId="17" builtinId="20" customBuiltin="1"/>
    <cellStyle name="Fecha" xfId="9" xr:uid="{00000000-0005-0000-0000-00001F000000}"/>
    <cellStyle name="Hipervínculo" xfId="1" builtinId="8" customBuiltin="1"/>
    <cellStyle name="Incorrecto" xfId="15" builtinId="27" customBuiltin="1"/>
    <cellStyle name="Millares" xfId="4" builtinId="3" customBuiltin="1"/>
    <cellStyle name="Millares [0]" xfId="10" builtinId="6" customBuiltin="1"/>
    <cellStyle name="Moneda" xfId="11" builtinId="4" customBuiltin="1"/>
    <cellStyle name="Moneda [0]" xfId="12" builtinId="7" customBuiltin="1"/>
    <cellStyle name="Neutral" xfId="16" builtinId="28" customBuiltin="1"/>
    <cellStyle name="Normal" xfId="0" builtinId="0" customBuiltin="1"/>
    <cellStyle name="Notas" xfId="23" builtinId="10" customBuiltin="1"/>
    <cellStyle name="Porcentaje" xfId="2" builtinId="5" customBuiltin="1"/>
    <cellStyle name="Salida" xfId="18" builtinId="21" customBuiltin="1"/>
    <cellStyle name="Texto de advertencia" xfId="22" builtinId="11" customBuiltin="1"/>
    <cellStyle name="Texto explicativo" xfId="24" builtinId="53" customBuiltin="1"/>
    <cellStyle name="Título" xfId="5" builtinId="15" customBuiltin="1"/>
    <cellStyle name="Título 2" xfId="7" builtinId="17" customBuiltin="1"/>
    <cellStyle name="Título 3" xfId="8" builtinId="18" customBuiltin="1"/>
    <cellStyle name="Total" xfId="25" builtinId="25" customBuiltin="1"/>
    <cellStyle name="zHiddenText" xfId="3" xr:uid="{00000000-0005-0000-0000-000031000000}"/>
  </cellStyles>
  <dxfs count="27">
    <dxf>
      <font>
        <b/>
        <i val="0"/>
        <color theme="0"/>
      </font>
      <border>
        <left style="thin">
          <color rgb="FFC00000"/>
        </left>
        <right style="thin">
          <color rgb="FFC00000"/>
        </right>
        <vertical/>
        <horizontal/>
      </border>
    </dxf>
    <dxf>
      <fill>
        <patternFill>
          <bgColor theme="6" tint="0.79998168889431442"/>
        </patternFill>
      </fill>
      <border>
        <top style="thin">
          <color theme="0"/>
        </top>
        <bottom style="thin">
          <color theme="0"/>
        </bottom>
      </border>
    </dxf>
    <dxf>
      <fill>
        <patternFill>
          <bgColor theme="6" tint="0.79998168889431442"/>
        </patternFill>
      </fill>
      <border>
        <top style="thin">
          <color theme="0"/>
        </top>
        <bottom style="thin">
          <color theme="0"/>
        </bottom>
      </border>
    </dxf>
    <dxf>
      <fill>
        <patternFill>
          <bgColor theme="6" tint="0.39994506668294322"/>
        </patternFill>
      </fill>
      <border>
        <top style="thin">
          <color theme="0"/>
        </top>
        <bottom style="thin">
          <color theme="0"/>
        </bottom>
      </border>
    </dxf>
    <dxf>
      <fill>
        <patternFill>
          <bgColor theme="2" tint="-9.9948118533890809E-2"/>
        </patternFill>
      </fill>
      <border>
        <left style="thin">
          <color theme="2" tint="-9.9948118533890809E-2"/>
        </left>
        <right style="thin">
          <color theme="2" tint="-9.9948118533890809E-2"/>
        </right>
        <top style="thin">
          <color theme="0"/>
        </top>
        <bottom style="thin">
          <color theme="0"/>
        </bottom>
        <vertical/>
        <horizontal/>
      </border>
    </dxf>
    <dxf>
      <fill>
        <patternFill>
          <bgColor theme="9" tint="-0.24994659260841701"/>
        </patternFill>
      </fill>
      <border>
        <left style="thin">
          <color theme="9" tint="-0.24994659260841701"/>
        </left>
        <right style="thin">
          <color theme="9" tint="-0.24994659260841701"/>
        </right>
        <top style="thin">
          <color theme="0"/>
        </top>
        <bottom style="thin">
          <color theme="0"/>
        </bottom>
        <vertical/>
        <horizontal/>
      </border>
    </dxf>
    <dxf>
      <fill>
        <patternFill>
          <bgColor theme="4"/>
        </patternFill>
      </fill>
      <border>
        <left style="thin">
          <color theme="4"/>
        </left>
        <right style="thin">
          <color theme="4"/>
        </right>
        <top style="thin">
          <color theme="0"/>
        </top>
        <bottom style="thin">
          <color theme="0"/>
        </bottom>
      </border>
    </dxf>
    <dxf>
      <fill>
        <patternFill>
          <bgColor theme="7" tint="-0.24994659260841701"/>
        </patternFill>
      </fill>
      <border>
        <left style="thin">
          <color theme="7" tint="-0.24994659260841701"/>
        </left>
        <right style="thin">
          <color theme="7" tint="-0.24994659260841701"/>
        </right>
        <top style="thin">
          <color theme="0"/>
        </top>
        <bottom style="thin">
          <color theme="0"/>
        </bottom>
      </border>
    </dxf>
    <dxf>
      <fill>
        <patternFill>
          <bgColor theme="6"/>
        </patternFill>
      </fill>
      <border>
        <left style="thin">
          <color theme="6"/>
        </left>
        <right style="thin">
          <color theme="6"/>
        </right>
        <top style="thin">
          <color theme="0"/>
        </top>
        <bottom style="thin">
          <color theme="0"/>
        </bottom>
      </border>
    </dxf>
    <dxf>
      <fill>
        <patternFill>
          <bgColor theme="6" tint="0.59996337778862885"/>
        </patternFill>
      </fill>
      <border>
        <top style="thin">
          <color theme="0"/>
        </top>
        <bottom style="thin">
          <color theme="0"/>
        </bottom>
        <vertical/>
        <horizontal/>
      </border>
    </dxf>
    <dxf>
      <font>
        <b/>
        <i val="0"/>
        <color theme="0"/>
      </font>
      <border>
        <left style="thin">
          <color rgb="FFC00000"/>
        </left>
        <right style="thin">
          <color rgb="FFC00000"/>
        </right>
        <vertical/>
        <horizontal/>
      </border>
    </dxf>
    <dxf>
      <fill>
        <patternFill>
          <bgColor theme="6" tint="0.79998168889431442"/>
        </patternFill>
      </fill>
      <border>
        <top style="thin">
          <color theme="0"/>
        </top>
        <bottom style="thin">
          <color theme="0"/>
        </bottom>
      </border>
    </dxf>
    <dxf>
      <alignment horizontal="center" vertical="center" textRotation="0" indent="0" justifyLastLine="0" shrinkToFit="0" readingOrder="0"/>
    </dxf>
    <dxf>
      <alignment horizontal="center" vertical="center" textRotation="0" wrapText="0" indent="0" justifyLastLine="0" shrinkToFit="0" readingOrder="0"/>
    </dxf>
    <dxf>
      <alignment horizontal="left" vertical="center" textRotation="0" wrapText="1" relativeIndent="1" justifyLastLine="0" shrinkToFit="0" readingOrder="0"/>
    </dxf>
    <dxf>
      <border>
        <left style="thin">
          <color theme="0" tint="-0.24994659260841701"/>
        </left>
      </border>
    </dxf>
    <dxf>
      <border>
        <left style="thin">
          <color theme="0" tint="-0.24994659260841701"/>
        </left>
      </border>
    </dxf>
    <dxf>
      <border>
        <top style="thin">
          <color theme="4" tint="0.39994506668294322"/>
        </top>
      </border>
    </dxf>
    <dxf>
      <fill>
        <patternFill>
          <bgColor theme="0" tint="-4.9989318521683403E-2"/>
        </patternFill>
      </fill>
      <border>
        <top style="thin">
          <color theme="4" tint="0.39994506668294322"/>
        </top>
      </border>
    </dxf>
    <dxf>
      <font>
        <b/>
        <color theme="1"/>
      </font>
    </dxf>
    <dxf>
      <font>
        <b val="0"/>
        <i val="0"/>
        <color theme="1"/>
      </font>
      <border>
        <left style="thin">
          <color theme="4"/>
        </left>
      </border>
    </dxf>
    <dxf>
      <font>
        <b/>
        <color theme="1"/>
      </font>
      <border>
        <top style="double">
          <color theme="4"/>
        </top>
      </border>
    </dxf>
    <dxf>
      <font>
        <b/>
        <color theme="0"/>
      </font>
      <fill>
        <patternFill patternType="solid">
          <fgColor theme="4"/>
          <bgColor theme="4"/>
        </patternFill>
      </fill>
    </dxf>
    <dxf>
      <font>
        <color theme="1"/>
      </font>
      <border>
        <left style="thin">
          <color theme="4"/>
        </left>
        <right style="thin">
          <color theme="4"/>
        </right>
        <top style="thin">
          <color theme="4"/>
        </top>
        <bottom style="thin">
          <color theme="4"/>
        </bottom>
      </border>
    </dxf>
    <dxf>
      <fill>
        <patternFill patternType="none">
          <fgColor indexed="64"/>
          <bgColor auto="1"/>
        </patternFill>
      </fill>
      <border>
        <top style="thin">
          <color theme="6" tint="0.39994506668294322"/>
        </top>
        <bottom style="thin">
          <color theme="6" tint="0.39994506668294322"/>
        </bottom>
      </border>
    </dxf>
    <dxf>
      <font>
        <color theme="0"/>
      </font>
      <fill>
        <patternFill>
          <bgColor theme="1" tint="0.34998626667073579"/>
        </patternFill>
      </fill>
      <border diagonalUp="0" diagonalDown="0">
        <left/>
        <right/>
        <top/>
        <bottom/>
        <vertical/>
        <horizontal/>
      </border>
    </dxf>
    <dxf>
      <font>
        <color theme="3" tint="-0.24994659260841701"/>
      </font>
      <border diagonalUp="0" diagonalDown="0">
        <left/>
        <right style="thin">
          <color theme="6" tint="0.39994506668294322"/>
        </right>
        <top/>
        <bottom/>
        <vertical/>
        <horizontal/>
      </border>
    </dxf>
  </dxfs>
  <tableStyles count="2" defaultPivotStyle="PivotStyleLight16">
    <tableStyle name="Estilo de tabla personalizado" pivot="0" count="3" xr9:uid="{00000000-0011-0000-FFFF-FFFF00000000}">
      <tableStyleElement type="wholeTable" dxfId="26"/>
      <tableStyleElement type="headerRow" dxfId="25"/>
      <tableStyleElement type="firstRowStripe" dxfId="24"/>
    </tableStyle>
    <tableStyle name="ListaTareasPendientes" pivot="0" count="9" xr9:uid="{00000000-0011-0000-FFFF-FFFF01000000}">
      <tableStyleElement type="wholeTable" dxfId="23"/>
      <tableStyleElement type="headerRow" dxfId="22"/>
      <tableStyleElement type="totalRow" dxfId="21"/>
      <tableStyleElement type="firstColumn" dxfId="20"/>
      <tableStyleElement type="lastColumn" dxfId="19"/>
      <tableStyleElement type="firstRowStripe" dxfId="18"/>
      <tableStyleElement type="secondRowStripe" dxfId="17"/>
      <tableStyleElement type="firstColumnStripe" dxfId="16"/>
      <tableStyleElement type="secondColumnStripe" dxfId="15"/>
    </tableStyle>
  </tableStyles>
  <colors>
    <indexedColors>
      <rgbColor rgb="00000000"/>
      <rgbColor rgb="00FFFFFF"/>
      <rgbColor rgb="00FF0000"/>
      <rgbColor rgb="0000FF00"/>
      <rgbColor rgb="000000FF"/>
      <rgbColor rgb="00FFFF00"/>
      <rgbColor rgb="00FF00FF"/>
      <rgbColor rgb="0000FFFF"/>
      <rgbColor rgb="00000000"/>
      <rgbColor rgb="00FFFFFF"/>
      <rgbColor rgb="00FF0000"/>
      <rgbColor rgb="005FF25F"/>
      <rgbColor rgb="000000FF"/>
      <rgbColor rgb="00FFFF00"/>
      <rgbColor rgb="00DE3018"/>
      <rgbColor rgb="0053D4C9"/>
      <rgbColor rgb="006B0C00"/>
      <rgbColor rgb="00006500"/>
      <rgbColor rgb="00182C63"/>
      <rgbColor rgb="00819C00"/>
      <rgbColor rgb="00C9B783"/>
      <rgbColor rgb="00007F74"/>
      <rgbColor rgb="00F0F0F0"/>
      <rgbColor rgb="00666666"/>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799FC4"/>
      <rgbColor rgb="00C1F1ED"/>
      <rgbColor rgb="00D6F4D9"/>
      <rgbColor rgb="00FFFFCC"/>
      <rgbColor rgb="00C9DAFB"/>
      <rgbColor rgb="00FAC8D7"/>
      <rgbColor rgb="00F3F0E4"/>
      <rgbColor rgb="00E4E8F3"/>
      <rgbColor rgb="001849B5"/>
      <rgbColor rgb="0036ACA2"/>
      <rgbColor rgb="00F0BA00"/>
      <rgbColor rgb="00BCC5E1"/>
      <rgbColor rgb="008394C9"/>
      <rgbColor rgb="003B4E87"/>
      <rgbColor rgb="0087743B"/>
      <rgbColor rgb="00C0C0C0"/>
      <rgbColor rgb="00003366"/>
      <rgbColor rgb="00109618"/>
      <rgbColor rgb="00085108"/>
      <rgbColor rgb="00635100"/>
      <rgbColor rgb="00273359"/>
      <rgbColor rgb="00E1D8BC"/>
      <rgbColor rgb="00594C27"/>
      <rgbColor rgb="00333333"/>
    </indexedColors>
    <mruColors>
      <color rgb="FF215881"/>
      <color rgb="FF42648A"/>
      <color rgb="FF969696"/>
      <color rgb="FFC0C0C0"/>
      <color rgb="FF427FC2"/>
      <color rgb="FF44678E"/>
      <color rgb="FF4A6F9C"/>
      <color rgb="FF3969AD"/>
      <color rgb="FF00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Scroll" dx="39" fmlaLink="$F$4" horiz="1" max="365" page="2" val="0"/>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30480</xdr:colOff>
          <xdr:row>5</xdr:row>
          <xdr:rowOff>60960</xdr:rowOff>
        </xdr:from>
        <xdr:to>
          <xdr:col>106</xdr:col>
          <xdr:colOff>419100</xdr:colOff>
          <xdr:row>5</xdr:row>
          <xdr:rowOff>243840</xdr:rowOff>
        </xdr:to>
        <xdr:sp macro="" textlink="">
          <xdr:nvSpPr>
            <xdr:cNvPr id="6149" name="Barra de desplazamiento 5" descr="Barra de desplazamiento para desplazarse por la escala de tiempo del proyecto Ghantt." hidden="1">
              <a:extLst>
                <a:ext uri="{63B3BB69-23CF-44E3-9099-C40C66FF867C}">
                  <a14:compatExt spid="_x0000_s6149"/>
                </a:ext>
                <a:ext uri="{FF2B5EF4-FFF2-40B4-BE49-F238E27FC236}">
                  <a16:creationId xmlns:a16="http://schemas.microsoft.com/office/drawing/2014/main" id="{00000000-0008-0000-0000-0000051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Hitos" displayName="Hitos" ref="B7:G33" totalsRowShown="0">
  <autoFilter ref="B7:G33" xr:uid="{00000000-0009-0000-0100-000001000000}">
    <filterColumn colId="0" hiddenButton="1"/>
    <filterColumn colId="1" hiddenButton="1"/>
    <filterColumn colId="2" hiddenButton="1"/>
    <filterColumn colId="3" hiddenButton="1"/>
    <filterColumn colId="4" hiddenButton="1"/>
    <filterColumn colId="5" hiddenButton="1"/>
  </autoFilter>
  <tableColumns count="6">
    <tableColumn id="1" xr3:uid="{00000000-0010-0000-0000-000001000000}" name="Descripción del hito" dataDxfId="14"/>
    <tableColumn id="2" xr3:uid="{00000000-0010-0000-0000-000002000000}" name="Categoría" dataDxfId="13"/>
    <tableColumn id="3" xr3:uid="{00000000-0010-0000-0000-000003000000}" name="Asignado a" dataDxfId="12"/>
    <tableColumn id="4" xr3:uid="{00000000-0010-0000-0000-000004000000}" name="Progreso"/>
    <tableColumn id="5" xr3:uid="{00000000-0010-0000-0000-000005000000}" name="Inicio" dataCellStyle="Fecha"/>
    <tableColumn id="6" xr3:uid="{00000000-0010-0000-0000-000006000000}" name="Número de días"/>
  </tableColumns>
  <tableStyleInfo name="Estilo de tabla personalizado" showFirstColumn="1" showLastColumn="0" showRowStripes="1" showColumnStripes="0"/>
  <extLst>
    <ext xmlns:x14="http://schemas.microsoft.com/office/spreadsheetml/2009/9/main" uri="{504A1905-F514-4f6f-8877-14C23A59335A}">
      <x14:table altTextSummary="Escriba la información del proyecto en esta tabla. Escriba una descripción hito de una fase, tarea, actividad, etc., en la columna situada debajo de Descripción. Seleccione una categoría en la columna Categoría. Asigne el elemento a alguien de la columna Asignado a. Actualice el progreso y vea la como las barras de datos se actualizan automáticamente en la columna Progreso. Escriba la fecha de inicio en la columna Inicio y el número de días en la columna Número de días. Los datos de Ghantt en las celdas J9 a BM 34 se actualizarán automáticamente. Agregue nuevas filas en la tabla para agregar nuevas tareas."/>
    </ext>
  </extLst>
</table>
</file>

<file path=xl/theme/theme1.xml><?xml version="1.0" encoding="utf-8"?>
<a:theme xmlns:a="http://schemas.openxmlformats.org/drawingml/2006/main" name="Attitude">
  <a:themeElements>
    <a:clrScheme name="Attitude">
      <a:dk1>
        <a:sysClr val="windowText" lastClr="000000"/>
      </a:dk1>
      <a:lt1>
        <a:sysClr val="window" lastClr="FFFFFF"/>
      </a:lt1>
      <a:dk2>
        <a:srgbClr val="44546A"/>
      </a:dk2>
      <a:lt2>
        <a:srgbClr val="E7E6E6"/>
      </a:lt2>
      <a:accent1>
        <a:srgbClr val="1180AE"/>
      </a:accent1>
      <a:accent2>
        <a:srgbClr val="6C5B97"/>
      </a:accent2>
      <a:accent3>
        <a:srgbClr val="FCB239"/>
      </a:accent3>
      <a:accent4>
        <a:srgbClr val="D74061"/>
      </a:accent4>
      <a:accent5>
        <a:srgbClr val="F37A29"/>
      </a:accent5>
      <a:accent6>
        <a:srgbClr val="B66BA3"/>
      </a:accent6>
      <a:hlink>
        <a:srgbClr val="D2B356"/>
      </a:hlink>
      <a:folHlink>
        <a:srgbClr val="C59169"/>
      </a:folHlink>
    </a:clrScheme>
    <a:fontScheme name="Calibri">
      <a:majorFont>
        <a:latin typeface="Calibri" panose="020F0502020204030204"/>
        <a:ea typeface=""/>
        <a:cs typeface=""/>
        <a:font script="Jpan" typeface="メイリオ"/>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alibri" panose="020F0502020204030204"/>
        <a:ea typeface=""/>
        <a:cs typeface=""/>
        <a:font script="Jpan" typeface="メイリオ"/>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table" Target="../tables/table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DB36"/>
  <sheetViews>
    <sheetView showGridLines="0" tabSelected="1" showRuler="0" topLeftCell="A20" zoomScale="70" zoomScaleNormal="70" zoomScalePageLayoutView="70" workbookViewId="0">
      <selection activeCell="B1" sqref="B1:DB32"/>
    </sheetView>
  </sheetViews>
  <sheetFormatPr baseColWidth="10" defaultColWidth="9.109375" defaultRowHeight="30" customHeight="1" x14ac:dyDescent="0.3"/>
  <cols>
    <col min="1" max="1" width="2.6640625" style="14" customWidth="1"/>
    <col min="2" max="2" width="35.6640625" customWidth="1"/>
    <col min="3" max="3" width="18.6640625" customWidth="1"/>
    <col min="4" max="4" width="21.5546875" customWidth="1"/>
    <col min="5" max="5" width="9.88671875" bestFit="1" customWidth="1"/>
    <col min="6" max="6" width="15.88671875" style="3" bestFit="1" customWidth="1"/>
    <col min="7" max="7" width="10.33203125" bestFit="1" customWidth="1"/>
    <col min="8" max="8" width="2.6640625" customWidth="1"/>
    <col min="9" max="106" width="3.109375" customWidth="1"/>
  </cols>
  <sheetData>
    <row r="1" spans="1:106" ht="30" customHeight="1" x14ac:dyDescent="0.55000000000000004">
      <c r="A1" s="15" t="s">
        <v>0</v>
      </c>
      <c r="B1" s="17" t="s">
        <v>11</v>
      </c>
      <c r="C1" s="17"/>
      <c r="D1" s="1"/>
      <c r="F1"/>
      <c r="G1" s="7"/>
      <c r="I1" s="32" t="s">
        <v>27</v>
      </c>
      <c r="J1" s="8"/>
    </row>
    <row r="2" spans="1:106" ht="28.2" customHeight="1" x14ac:dyDescent="0.3">
      <c r="A2" s="15" t="s">
        <v>1</v>
      </c>
      <c r="B2" s="53" t="s">
        <v>35</v>
      </c>
      <c r="C2" s="53"/>
      <c r="D2" s="53"/>
      <c r="E2" s="53"/>
      <c r="F2" s="53"/>
      <c r="G2" s="53"/>
      <c r="I2" s="64" t="s">
        <v>20</v>
      </c>
      <c r="J2" s="64"/>
      <c r="K2" s="64"/>
      <c r="L2" s="64"/>
      <c r="M2" s="64"/>
      <c r="N2" s="64"/>
      <c r="O2" s="64"/>
      <c r="Q2" s="63" t="s">
        <v>17</v>
      </c>
      <c r="R2" s="63"/>
      <c r="S2" s="63"/>
      <c r="T2" s="63"/>
      <c r="U2" s="63"/>
      <c r="W2" s="62" t="s">
        <v>18</v>
      </c>
      <c r="X2" s="62"/>
      <c r="Y2" s="62"/>
      <c r="Z2" s="62"/>
      <c r="AA2" s="62"/>
      <c r="AB2" s="62"/>
      <c r="AD2" s="61" t="s">
        <v>19</v>
      </c>
      <c r="AE2" s="61"/>
      <c r="AF2" s="61"/>
      <c r="AG2" s="61"/>
      <c r="AH2" s="61"/>
      <c r="AJ2" s="60" t="s">
        <v>28</v>
      </c>
      <c r="AK2" s="60"/>
      <c r="AL2" s="60"/>
      <c r="AM2" s="60"/>
      <c r="AN2" s="60"/>
    </row>
    <row r="3" spans="1:106" ht="41.4" customHeight="1" x14ac:dyDescent="0.3">
      <c r="A3" s="15" t="s">
        <v>2</v>
      </c>
      <c r="B3" s="59" t="s">
        <v>36</v>
      </c>
      <c r="C3" s="59"/>
      <c r="D3" s="54" t="s">
        <v>21</v>
      </c>
      <c r="E3" s="55"/>
      <c r="F3" s="57">
        <f ca="1">IFERROR(IF(MIN(Hitos[Inicio])=0,TODAY(),MIN(Hitos[Inicio])),TODAY())</f>
        <v>45876</v>
      </c>
      <c r="G3" s="58"/>
      <c r="H3" s="18"/>
    </row>
    <row r="4" spans="1:106" ht="30" customHeight="1" x14ac:dyDescent="0.4">
      <c r="A4" s="15" t="s">
        <v>3</v>
      </c>
      <c r="D4" s="54" t="s">
        <v>22</v>
      </c>
      <c r="E4" s="55"/>
      <c r="F4" s="35">
        <v>0</v>
      </c>
      <c r="I4" s="34" t="str">
        <f ca="1">TEXT(I5,"mmmm")</f>
        <v>Agosto</v>
      </c>
      <c r="J4" s="34"/>
      <c r="K4" s="34"/>
      <c r="L4" s="34"/>
      <c r="M4" s="34"/>
      <c r="N4" s="34"/>
      <c r="O4" s="34"/>
      <c r="P4" s="34" t="str">
        <f ca="1">IF(TEXT(P5,"mmmm")=I4,"",TEXT(P5,"mmmm"))</f>
        <v/>
      </c>
      <c r="Q4" s="34"/>
      <c r="R4" s="34"/>
      <c r="S4" s="34"/>
      <c r="T4" s="34"/>
      <c r="U4" s="34"/>
      <c r="V4" s="34"/>
      <c r="W4" s="34" t="str">
        <f ca="1">IF(OR(TEXT(W5,"mmmm")=P4,TEXT(W5,"mmmm")=I4),"",TEXT(W5,"mmmm"))</f>
        <v/>
      </c>
      <c r="X4" s="34"/>
      <c r="Y4" s="34"/>
      <c r="Z4" s="34"/>
      <c r="AA4" s="34"/>
      <c r="AB4" s="34"/>
      <c r="AC4" s="34"/>
      <c r="AD4" s="34" t="str">
        <f ca="1">IF(OR(TEXT(AD5,"mmmm")=W4,TEXT(AD5,"mmmm")=P4,TEXT(AD5,"mmmm")=I4),"",TEXT(AD5,"mmmm"))</f>
        <v/>
      </c>
      <c r="AE4" s="34"/>
      <c r="AF4" s="34"/>
      <c r="AG4" s="34"/>
      <c r="AH4" s="34"/>
      <c r="AI4" s="34"/>
      <c r="AJ4" s="34"/>
      <c r="AK4" s="34" t="str">
        <f ca="1">IF(OR(TEXT(AK5,"mmmm")=AD4,TEXT(AK5,"mmmm")=W4,TEXT(AK5,"mmmm")=P4,TEXT(AK5,"mmmm")=I4),"",TEXT(AK5,"mmmm"))</f>
        <v>Setiembre</v>
      </c>
      <c r="AL4" s="34"/>
      <c r="AM4" s="34"/>
      <c r="AN4" s="34"/>
      <c r="AO4" s="34"/>
      <c r="AP4" s="34"/>
      <c r="AQ4" s="34"/>
      <c r="AR4" s="34" t="str">
        <f ca="1">IF(OR(TEXT(AR5,"mmmm")=AK4,TEXT(AR5,"mmmm")=AD4,TEXT(AR5,"mmmm")=W4,TEXT(AR5,"mmmm")=P4),"",TEXT(AR5,"mmmm"))</f>
        <v/>
      </c>
      <c r="AS4" s="34"/>
      <c r="AT4" s="34"/>
      <c r="AU4" s="34"/>
      <c r="AV4" s="34"/>
      <c r="AW4" s="34"/>
      <c r="AX4" s="34"/>
      <c r="AY4" s="34" t="str">
        <f ca="1">IF(OR(TEXT(AY5,"mmmm")=AR4,TEXT(AY5,"mmmm")=AK4,TEXT(AY5,"mmmm")=AD4,TEXT(AY5,"mmmm")=W4),"",TEXT(AY5,"mmmm"))</f>
        <v/>
      </c>
      <c r="AZ4" s="34"/>
      <c r="BA4" s="34"/>
      <c r="BB4" s="34"/>
      <c r="BC4" s="34"/>
      <c r="BD4" s="34"/>
      <c r="BE4" s="34"/>
      <c r="BF4" s="34" t="str">
        <f ca="1">IF(OR(TEXT(BF5,"mmmm")=AY4,TEXT(BF5,"mmmm")=AR4,TEXT(BF5,"mmmm")=AK4,TEXT(BF5,"mmmm")=AD4),"",TEXT(BF5,"mmmm"))</f>
        <v/>
      </c>
      <c r="BG4" s="34"/>
      <c r="BH4" s="34"/>
      <c r="BI4" s="34"/>
      <c r="BJ4" s="34"/>
      <c r="BK4" s="34"/>
      <c r="BL4" s="34"/>
      <c r="BM4" s="34"/>
      <c r="BN4" s="34"/>
      <c r="BO4" s="34" t="str">
        <f ca="1">IF(OR(TEXT(BO5,"mmmm")=BH4,TEXT(BO5,"mmmm")=BA4,TEXT(BO5,"mmmm")=AT4,TEXT(BO5,"mmmm")=AM4),"",TEXT(BO5,"mmmm"))</f>
        <v>Octubre</v>
      </c>
      <c r="BP4" s="34"/>
      <c r="BQ4" s="34"/>
      <c r="BR4" s="34"/>
      <c r="BS4" s="34"/>
      <c r="BT4" s="34"/>
      <c r="BU4" s="34"/>
      <c r="BV4" s="34"/>
      <c r="BW4" s="34"/>
      <c r="BX4" s="34"/>
      <c r="BY4" s="34"/>
      <c r="BZ4" s="34"/>
      <c r="CA4" s="34"/>
      <c r="CB4" s="34"/>
      <c r="CC4" s="34"/>
      <c r="CD4" s="34"/>
      <c r="CE4" s="34"/>
      <c r="CF4" s="34"/>
      <c r="CG4" s="34"/>
      <c r="CH4" s="34"/>
      <c r="CI4" s="34"/>
      <c r="CJ4" s="34"/>
      <c r="CK4" s="34"/>
      <c r="CL4" s="34"/>
      <c r="CM4" s="34"/>
      <c r="CN4" s="34"/>
      <c r="CO4" s="34"/>
      <c r="CP4" s="34"/>
      <c r="CQ4" s="34"/>
      <c r="CR4" s="34"/>
      <c r="CS4" s="34"/>
      <c r="CT4" s="34" t="str">
        <f ca="1">IF(OR(TEXT(CT5,"mmmm")=CM4,TEXT(CT5,"mmmm")=CF4,TEXT(CT5,"mmmm")=BY4,TEXT(CT5,"mmmm")=BR4),"",TEXT(CT5,"mmmm"))</f>
        <v>Noviembre</v>
      </c>
      <c r="CU4" s="34"/>
      <c r="CV4" s="34"/>
      <c r="CW4" s="34"/>
      <c r="CX4" s="34"/>
      <c r="CY4" s="34"/>
      <c r="CZ4" s="34"/>
      <c r="DA4" s="34"/>
      <c r="DB4" s="34"/>
    </row>
    <row r="5" spans="1:106" ht="15" customHeight="1" x14ac:dyDescent="0.3">
      <c r="A5" s="15" t="s">
        <v>4</v>
      </c>
      <c r="B5" s="56"/>
      <c r="C5" s="56"/>
      <c r="D5" s="56"/>
      <c r="E5" s="56"/>
      <c r="F5" s="56"/>
      <c r="G5" s="56"/>
      <c r="H5" s="56"/>
      <c r="I5" s="41">
        <f ca="1">IFERROR(Inicio_del_proyecto+Incremento_de_desplazamiento,TODAY())</f>
        <v>45876</v>
      </c>
      <c r="J5" s="42">
        <f ca="1">I5+1</f>
        <v>45877</v>
      </c>
      <c r="K5" s="42">
        <f t="shared" ref="K5:AX5" ca="1" si="0">J5+1</f>
        <v>45878</v>
      </c>
      <c r="L5" s="42">
        <f t="shared" ca="1" si="0"/>
        <v>45879</v>
      </c>
      <c r="M5" s="42">
        <f t="shared" ca="1" si="0"/>
        <v>45880</v>
      </c>
      <c r="N5" s="42">
        <f t="shared" ca="1" si="0"/>
        <v>45881</v>
      </c>
      <c r="O5" s="43">
        <f t="shared" ca="1" si="0"/>
        <v>45882</v>
      </c>
      <c r="P5" s="41">
        <f ca="1">O5+1</f>
        <v>45883</v>
      </c>
      <c r="Q5" s="42">
        <f ca="1">P5+1</f>
        <v>45884</v>
      </c>
      <c r="R5" s="42">
        <f t="shared" ca="1" si="0"/>
        <v>45885</v>
      </c>
      <c r="S5" s="42">
        <f t="shared" ca="1" si="0"/>
        <v>45886</v>
      </c>
      <c r="T5" s="42">
        <f t="shared" ca="1" si="0"/>
        <v>45887</v>
      </c>
      <c r="U5" s="42">
        <f t="shared" ca="1" si="0"/>
        <v>45888</v>
      </c>
      <c r="V5" s="43">
        <f t="shared" ca="1" si="0"/>
        <v>45889</v>
      </c>
      <c r="W5" s="41">
        <f ca="1">V5+1</f>
        <v>45890</v>
      </c>
      <c r="X5" s="42">
        <f ca="1">W5+1</f>
        <v>45891</v>
      </c>
      <c r="Y5" s="42">
        <f t="shared" ca="1" si="0"/>
        <v>45892</v>
      </c>
      <c r="Z5" s="42">
        <f t="shared" ca="1" si="0"/>
        <v>45893</v>
      </c>
      <c r="AA5" s="42">
        <f t="shared" ca="1" si="0"/>
        <v>45894</v>
      </c>
      <c r="AB5" s="42">
        <f t="shared" ca="1" si="0"/>
        <v>45895</v>
      </c>
      <c r="AC5" s="43">
        <f t="shared" ca="1" si="0"/>
        <v>45896</v>
      </c>
      <c r="AD5" s="41">
        <f ca="1">AC5+1</f>
        <v>45897</v>
      </c>
      <c r="AE5" s="42">
        <f ca="1">AD5+1</f>
        <v>45898</v>
      </c>
      <c r="AF5" s="42">
        <f t="shared" ca="1" si="0"/>
        <v>45899</v>
      </c>
      <c r="AG5" s="42">
        <f t="shared" ca="1" si="0"/>
        <v>45900</v>
      </c>
      <c r="AH5" s="42">
        <f ca="1">AG5+1</f>
        <v>45901</v>
      </c>
      <c r="AI5" s="42">
        <f t="shared" ca="1" si="0"/>
        <v>45902</v>
      </c>
      <c r="AJ5" s="43">
        <f t="shared" ca="1" si="0"/>
        <v>45903</v>
      </c>
      <c r="AK5" s="41">
        <f ca="1">AJ5+1</f>
        <v>45904</v>
      </c>
      <c r="AL5" s="42">
        <f ca="1">AK5+1</f>
        <v>45905</v>
      </c>
      <c r="AM5" s="42">
        <f t="shared" ca="1" si="0"/>
        <v>45906</v>
      </c>
      <c r="AN5" s="42">
        <f t="shared" ca="1" si="0"/>
        <v>45907</v>
      </c>
      <c r="AO5" s="42">
        <f t="shared" ca="1" si="0"/>
        <v>45908</v>
      </c>
      <c r="AP5" s="42">
        <f t="shared" ca="1" si="0"/>
        <v>45909</v>
      </c>
      <c r="AQ5" s="43">
        <f t="shared" ca="1" si="0"/>
        <v>45910</v>
      </c>
      <c r="AR5" s="41">
        <f ca="1">AQ5+1</f>
        <v>45911</v>
      </c>
      <c r="AS5" s="42">
        <f ca="1">AR5+1</f>
        <v>45912</v>
      </c>
      <c r="AT5" s="42">
        <f t="shared" ca="1" si="0"/>
        <v>45913</v>
      </c>
      <c r="AU5" s="42">
        <f t="shared" ca="1" si="0"/>
        <v>45914</v>
      </c>
      <c r="AV5" s="42">
        <f t="shared" ca="1" si="0"/>
        <v>45915</v>
      </c>
      <c r="AW5" s="42">
        <f t="shared" ca="1" si="0"/>
        <v>45916</v>
      </c>
      <c r="AX5" s="43">
        <f t="shared" ca="1" si="0"/>
        <v>45917</v>
      </c>
      <c r="AY5" s="41">
        <f ca="1">AX5+1</f>
        <v>45918</v>
      </c>
      <c r="AZ5" s="42">
        <f ca="1">AY5+1</f>
        <v>45919</v>
      </c>
      <c r="BA5" s="42">
        <f ca="1">AZ5+1</f>
        <v>45920</v>
      </c>
      <c r="BB5" s="42">
        <f t="shared" ref="BB5:BE5" ca="1" si="1">BA5+1</f>
        <v>45921</v>
      </c>
      <c r="BC5" s="42">
        <f t="shared" ca="1" si="1"/>
        <v>45922</v>
      </c>
      <c r="BD5" s="42">
        <f t="shared" ca="1" si="1"/>
        <v>45923</v>
      </c>
      <c r="BE5" s="43">
        <f t="shared" ca="1" si="1"/>
        <v>45924</v>
      </c>
      <c r="BF5" s="41">
        <f ca="1">BE5+1</f>
        <v>45925</v>
      </c>
      <c r="BG5" s="42">
        <f ca="1">BF5+1</f>
        <v>45926</v>
      </c>
      <c r="BH5" s="42">
        <f t="shared" ref="BH5:BL5" ca="1" si="2">BG5+1</f>
        <v>45927</v>
      </c>
      <c r="BI5" s="42">
        <f t="shared" ca="1" si="2"/>
        <v>45928</v>
      </c>
      <c r="BJ5" s="42">
        <f t="shared" ca="1" si="2"/>
        <v>45929</v>
      </c>
      <c r="BK5" s="42">
        <f t="shared" ca="1" si="2"/>
        <v>45930</v>
      </c>
      <c r="BL5" s="43">
        <f t="shared" ca="1" si="2"/>
        <v>45931</v>
      </c>
      <c r="BM5" s="43">
        <f t="shared" ref="BM5" ca="1" si="3">BL5+1</f>
        <v>45932</v>
      </c>
      <c r="BN5" s="43">
        <f t="shared" ref="BN5" ca="1" si="4">BM5+1</f>
        <v>45933</v>
      </c>
      <c r="BO5" s="43">
        <f t="shared" ref="BO5" ca="1" si="5">BN5+1</f>
        <v>45934</v>
      </c>
      <c r="BP5" s="43">
        <f t="shared" ref="BP5" ca="1" si="6">BO5+1</f>
        <v>45935</v>
      </c>
      <c r="BQ5" s="43">
        <f t="shared" ref="BQ5" ca="1" si="7">BP5+1</f>
        <v>45936</v>
      </c>
      <c r="BR5" s="43">
        <f t="shared" ref="BR5" ca="1" si="8">BQ5+1</f>
        <v>45937</v>
      </c>
      <c r="BS5" s="43">
        <f t="shared" ref="BS5" ca="1" si="9">BR5+1</f>
        <v>45938</v>
      </c>
      <c r="BT5" s="43">
        <f t="shared" ref="BT5" ca="1" si="10">BS5+1</f>
        <v>45939</v>
      </c>
      <c r="BU5" s="43">
        <f t="shared" ref="BU5" ca="1" si="11">BT5+1</f>
        <v>45940</v>
      </c>
      <c r="BV5" s="43">
        <f t="shared" ref="BV5" ca="1" si="12">BU5+1</f>
        <v>45941</v>
      </c>
      <c r="BW5" s="43">
        <f t="shared" ref="BW5" ca="1" si="13">BV5+1</f>
        <v>45942</v>
      </c>
      <c r="BX5" s="43">
        <f t="shared" ref="BX5" ca="1" si="14">BW5+1</f>
        <v>45943</v>
      </c>
      <c r="BY5" s="43">
        <f t="shared" ref="BY5" ca="1" si="15">BX5+1</f>
        <v>45944</v>
      </c>
      <c r="BZ5" s="43">
        <f t="shared" ref="BZ5" ca="1" si="16">BY5+1</f>
        <v>45945</v>
      </c>
      <c r="CA5" s="43">
        <f t="shared" ref="CA5" ca="1" si="17">BZ5+1</f>
        <v>45946</v>
      </c>
      <c r="CB5" s="43">
        <f t="shared" ref="CB5" ca="1" si="18">CA5+1</f>
        <v>45947</v>
      </c>
      <c r="CC5" s="43">
        <f t="shared" ref="CC5" ca="1" si="19">CB5+1</f>
        <v>45948</v>
      </c>
      <c r="CD5" s="43">
        <f t="shared" ref="CD5" ca="1" si="20">CC5+1</f>
        <v>45949</v>
      </c>
      <c r="CE5" s="43">
        <f t="shared" ref="CE5" ca="1" si="21">CD5+1</f>
        <v>45950</v>
      </c>
      <c r="CF5" s="43">
        <f t="shared" ref="CF5" ca="1" si="22">CE5+1</f>
        <v>45951</v>
      </c>
      <c r="CG5" s="43">
        <f t="shared" ref="CG5" ca="1" si="23">CF5+1</f>
        <v>45952</v>
      </c>
      <c r="CH5" s="43">
        <f t="shared" ref="CH5" ca="1" si="24">CG5+1</f>
        <v>45953</v>
      </c>
      <c r="CI5" s="43">
        <f t="shared" ref="CI5" ca="1" si="25">CH5+1</f>
        <v>45954</v>
      </c>
      <c r="CJ5" s="43">
        <f t="shared" ref="CJ5" ca="1" si="26">CI5+1</f>
        <v>45955</v>
      </c>
      <c r="CK5" s="43">
        <f t="shared" ref="CK5" ca="1" si="27">CJ5+1</f>
        <v>45956</v>
      </c>
      <c r="CL5" s="43">
        <f t="shared" ref="CL5" ca="1" si="28">CK5+1</f>
        <v>45957</v>
      </c>
      <c r="CM5" s="43">
        <f t="shared" ref="CM5" ca="1" si="29">CL5+1</f>
        <v>45958</v>
      </c>
      <c r="CN5" s="43">
        <f t="shared" ref="CN5" ca="1" si="30">CM5+1</f>
        <v>45959</v>
      </c>
      <c r="CO5" s="43">
        <f t="shared" ref="CO5" ca="1" si="31">CN5+1</f>
        <v>45960</v>
      </c>
      <c r="CP5" s="43">
        <f t="shared" ref="CP5" ca="1" si="32">CO5+1</f>
        <v>45961</v>
      </c>
      <c r="CQ5" s="43">
        <f t="shared" ref="CQ5" ca="1" si="33">CP5+1</f>
        <v>45962</v>
      </c>
      <c r="CR5" s="43">
        <f t="shared" ref="CR5" ca="1" si="34">CQ5+1</f>
        <v>45963</v>
      </c>
      <c r="CS5" s="43">
        <f t="shared" ref="CS5" ca="1" si="35">CR5+1</f>
        <v>45964</v>
      </c>
      <c r="CT5" s="43">
        <f t="shared" ref="CT5" ca="1" si="36">CS5+1</f>
        <v>45965</v>
      </c>
      <c r="CU5" s="43">
        <f t="shared" ref="CU5" ca="1" si="37">CT5+1</f>
        <v>45966</v>
      </c>
      <c r="CV5" s="43">
        <f t="shared" ref="CV5" ca="1" si="38">CU5+1</f>
        <v>45967</v>
      </c>
      <c r="CW5" s="43">
        <f t="shared" ref="CW5" ca="1" si="39">CV5+1</f>
        <v>45968</v>
      </c>
      <c r="CX5" s="43">
        <f t="shared" ref="CX5" ca="1" si="40">CW5+1</f>
        <v>45969</v>
      </c>
      <c r="CY5" s="43">
        <f t="shared" ref="CY5" ca="1" si="41">CX5+1</f>
        <v>45970</v>
      </c>
      <c r="CZ5" s="43">
        <f t="shared" ref="CZ5" ca="1" si="42">CY5+1</f>
        <v>45971</v>
      </c>
      <c r="DA5" s="43">
        <f t="shared" ref="DA5" ca="1" si="43">CZ5+1</f>
        <v>45972</v>
      </c>
      <c r="DB5" s="43">
        <f t="shared" ref="DB5" ca="1" si="44">DA5+1</f>
        <v>45973</v>
      </c>
    </row>
    <row r="6" spans="1:106" ht="20.399999999999999" customHeight="1" x14ac:dyDescent="0.3">
      <c r="A6" s="15" t="s">
        <v>5</v>
      </c>
      <c r="F6"/>
      <c r="I6" s="36"/>
      <c r="J6" s="37"/>
      <c r="K6" s="37"/>
      <c r="L6" s="37"/>
      <c r="M6" s="37"/>
      <c r="N6" s="37"/>
      <c r="O6" s="38"/>
      <c r="P6" s="36"/>
      <c r="Q6" s="37"/>
      <c r="R6" s="37"/>
      <c r="S6" s="37"/>
      <c r="T6" s="37"/>
      <c r="U6" s="37"/>
      <c r="V6" s="38"/>
      <c r="W6" s="36"/>
      <c r="X6" s="37"/>
      <c r="Y6" s="37"/>
      <c r="Z6" s="37"/>
      <c r="AA6" s="37"/>
      <c r="AB6" s="37"/>
      <c r="AC6" s="38"/>
      <c r="AD6" s="36"/>
      <c r="AE6" s="37"/>
      <c r="AF6" s="37"/>
      <c r="AG6" s="37"/>
      <c r="AH6" s="37"/>
      <c r="AI6" s="37"/>
      <c r="AJ6" s="38"/>
      <c r="AK6" s="36"/>
      <c r="AL6" s="37"/>
      <c r="AM6" s="37"/>
      <c r="AN6" s="37"/>
      <c r="AO6" s="37"/>
      <c r="AP6" s="37"/>
      <c r="AQ6" s="38"/>
      <c r="AR6" s="36"/>
      <c r="AS6" s="37"/>
      <c r="AT6" s="37"/>
      <c r="AU6" s="37"/>
      <c r="AV6" s="37"/>
      <c r="AW6" s="37"/>
      <c r="AX6" s="38"/>
      <c r="AY6" s="36"/>
      <c r="AZ6" s="37"/>
      <c r="BA6" s="37"/>
      <c r="BB6" s="37"/>
      <c r="BC6" s="37"/>
      <c r="BD6" s="37"/>
      <c r="BE6" s="38"/>
      <c r="BF6" s="36"/>
      <c r="BG6" s="37"/>
      <c r="BH6" s="37"/>
      <c r="BI6" s="37"/>
      <c r="BJ6" s="37"/>
      <c r="BK6" s="37"/>
      <c r="BL6" s="38"/>
      <c r="BM6" s="38"/>
      <c r="BN6" s="38"/>
      <c r="BO6" s="38"/>
      <c r="BP6" s="38"/>
      <c r="BQ6" s="38"/>
      <c r="BR6" s="38"/>
      <c r="BS6" s="38"/>
      <c r="BT6" s="38"/>
      <c r="BU6" s="38"/>
      <c r="BV6" s="38"/>
      <c r="BW6" s="38"/>
      <c r="BX6" s="38"/>
      <c r="BY6" s="38"/>
      <c r="BZ6" s="38"/>
      <c r="CA6" s="38"/>
      <c r="CB6" s="38"/>
      <c r="CC6" s="38"/>
      <c r="CD6" s="38"/>
      <c r="CE6" s="38"/>
      <c r="CF6" s="38"/>
      <c r="CG6" s="38"/>
      <c r="CH6" s="38"/>
      <c r="CI6" s="38"/>
      <c r="CJ6" s="38"/>
      <c r="CK6" s="38"/>
      <c r="CL6" s="38"/>
      <c r="CM6" s="38"/>
      <c r="CN6" s="38"/>
      <c r="CO6" s="38"/>
      <c r="CP6" s="38"/>
      <c r="CQ6" s="38"/>
      <c r="CR6" s="38"/>
      <c r="CS6" s="38"/>
      <c r="CT6" s="38"/>
      <c r="CU6" s="38"/>
      <c r="CV6" s="38"/>
      <c r="CW6" s="38"/>
      <c r="CX6" s="38"/>
      <c r="CY6" s="38"/>
      <c r="CZ6" s="38"/>
      <c r="DA6" s="38"/>
      <c r="DB6" s="38"/>
    </row>
    <row r="7" spans="1:106" ht="30.9" customHeight="1" thickBot="1" x14ac:dyDescent="0.35">
      <c r="A7" s="15" t="s">
        <v>6</v>
      </c>
      <c r="B7" s="23" t="s">
        <v>12</v>
      </c>
      <c r="C7" s="24" t="s">
        <v>14</v>
      </c>
      <c r="D7" s="24" t="s">
        <v>23</v>
      </c>
      <c r="E7" s="24" t="s">
        <v>24</v>
      </c>
      <c r="F7" s="24" t="s">
        <v>25</v>
      </c>
      <c r="G7" s="24" t="s">
        <v>26</v>
      </c>
      <c r="H7" s="22"/>
      <c r="I7" s="20" t="str">
        <f t="shared" ref="I7" ca="1" si="45">LEFT(TEXT(I5,"ddd"),1)</f>
        <v>j</v>
      </c>
      <c r="J7" s="20" t="str">
        <f t="shared" ref="J7:AR7" ca="1" si="46">LEFT(TEXT(J5,"ddd"),1)</f>
        <v>v</v>
      </c>
      <c r="K7" s="20" t="str">
        <f t="shared" ca="1" si="46"/>
        <v>s</v>
      </c>
      <c r="L7" s="20" t="str">
        <f t="shared" ca="1" si="46"/>
        <v>d</v>
      </c>
      <c r="M7" s="20" t="str">
        <f t="shared" ca="1" si="46"/>
        <v>l</v>
      </c>
      <c r="N7" s="20" t="str">
        <f t="shared" ca="1" si="46"/>
        <v>m</v>
      </c>
      <c r="O7" s="20" t="str">
        <f t="shared" ca="1" si="46"/>
        <v>m</v>
      </c>
      <c r="P7" s="20" t="str">
        <f t="shared" ca="1" si="46"/>
        <v>j</v>
      </c>
      <c r="Q7" s="20" t="str">
        <f t="shared" ca="1" si="46"/>
        <v>v</v>
      </c>
      <c r="R7" s="20" t="str">
        <f t="shared" ca="1" si="46"/>
        <v>s</v>
      </c>
      <c r="S7" s="20" t="str">
        <f t="shared" ca="1" si="46"/>
        <v>d</v>
      </c>
      <c r="T7" s="20" t="str">
        <f t="shared" ca="1" si="46"/>
        <v>l</v>
      </c>
      <c r="U7" s="20" t="str">
        <f t="shared" ca="1" si="46"/>
        <v>m</v>
      </c>
      <c r="V7" s="20" t="str">
        <f t="shared" ca="1" si="46"/>
        <v>m</v>
      </c>
      <c r="W7" s="20" t="str">
        <f t="shared" ca="1" si="46"/>
        <v>j</v>
      </c>
      <c r="X7" s="20" t="str">
        <f t="shared" ca="1" si="46"/>
        <v>v</v>
      </c>
      <c r="Y7" s="20" t="str">
        <f t="shared" ca="1" si="46"/>
        <v>s</v>
      </c>
      <c r="Z7" s="20" t="str">
        <f t="shared" ca="1" si="46"/>
        <v>d</v>
      </c>
      <c r="AA7" s="20" t="str">
        <f t="shared" ca="1" si="46"/>
        <v>l</v>
      </c>
      <c r="AB7" s="20" t="str">
        <f t="shared" ca="1" si="46"/>
        <v>m</v>
      </c>
      <c r="AC7" s="20" t="str">
        <f t="shared" ca="1" si="46"/>
        <v>m</v>
      </c>
      <c r="AD7" s="20" t="str">
        <f t="shared" ca="1" si="46"/>
        <v>j</v>
      </c>
      <c r="AE7" s="20" t="str">
        <f t="shared" ca="1" si="46"/>
        <v>v</v>
      </c>
      <c r="AF7" s="20" t="str">
        <f t="shared" ca="1" si="46"/>
        <v>s</v>
      </c>
      <c r="AG7" s="20" t="str">
        <f t="shared" ca="1" si="46"/>
        <v>d</v>
      </c>
      <c r="AH7" s="20" t="str">
        <f t="shared" ca="1" si="46"/>
        <v>l</v>
      </c>
      <c r="AI7" s="20" t="str">
        <f t="shared" ca="1" si="46"/>
        <v>m</v>
      </c>
      <c r="AJ7" s="20" t="str">
        <f t="shared" ca="1" si="46"/>
        <v>m</v>
      </c>
      <c r="AK7" s="20" t="str">
        <f t="shared" ca="1" si="46"/>
        <v>j</v>
      </c>
      <c r="AL7" s="20" t="str">
        <f t="shared" ca="1" si="46"/>
        <v>v</v>
      </c>
      <c r="AM7" s="20" t="str">
        <f t="shared" ca="1" si="46"/>
        <v>s</v>
      </c>
      <c r="AN7" s="20" t="str">
        <f t="shared" ca="1" si="46"/>
        <v>d</v>
      </c>
      <c r="AO7" s="20" t="str">
        <f t="shared" ca="1" si="46"/>
        <v>l</v>
      </c>
      <c r="AP7" s="20" t="str">
        <f t="shared" ca="1" si="46"/>
        <v>m</v>
      </c>
      <c r="AQ7" s="20" t="str">
        <f t="shared" ca="1" si="46"/>
        <v>m</v>
      </c>
      <c r="AR7" s="20" t="str">
        <f t="shared" ca="1" si="46"/>
        <v>j</v>
      </c>
      <c r="AS7" s="20" t="str">
        <f t="shared" ref="AS7:BL7" ca="1" si="47">LEFT(TEXT(AS5,"ddd"),1)</f>
        <v>v</v>
      </c>
      <c r="AT7" s="20" t="str">
        <f t="shared" ca="1" si="47"/>
        <v>s</v>
      </c>
      <c r="AU7" s="20" t="str">
        <f t="shared" ca="1" si="47"/>
        <v>d</v>
      </c>
      <c r="AV7" s="20" t="str">
        <f t="shared" ca="1" si="47"/>
        <v>l</v>
      </c>
      <c r="AW7" s="20" t="str">
        <f t="shared" ca="1" si="47"/>
        <v>m</v>
      </c>
      <c r="AX7" s="20" t="str">
        <f t="shared" ca="1" si="47"/>
        <v>m</v>
      </c>
      <c r="AY7" s="20" t="str">
        <f t="shared" ca="1" si="47"/>
        <v>j</v>
      </c>
      <c r="AZ7" s="20" t="str">
        <f t="shared" ca="1" si="47"/>
        <v>v</v>
      </c>
      <c r="BA7" s="20" t="str">
        <f t="shared" ca="1" si="47"/>
        <v>s</v>
      </c>
      <c r="BB7" s="20" t="str">
        <f t="shared" ca="1" si="47"/>
        <v>d</v>
      </c>
      <c r="BC7" s="20" t="str">
        <f t="shared" ca="1" si="47"/>
        <v>l</v>
      </c>
      <c r="BD7" s="20" t="str">
        <f t="shared" ca="1" si="47"/>
        <v>m</v>
      </c>
      <c r="BE7" s="20" t="str">
        <f t="shared" ca="1" si="47"/>
        <v>m</v>
      </c>
      <c r="BF7" s="20" t="str">
        <f t="shared" ca="1" si="47"/>
        <v>j</v>
      </c>
      <c r="BG7" s="20" t="str">
        <f t="shared" ca="1" si="47"/>
        <v>v</v>
      </c>
      <c r="BH7" s="20" t="str">
        <f t="shared" ca="1" si="47"/>
        <v>s</v>
      </c>
      <c r="BI7" s="20" t="str">
        <f t="shared" ca="1" si="47"/>
        <v>d</v>
      </c>
      <c r="BJ7" s="20" t="str">
        <f t="shared" ca="1" si="47"/>
        <v>l</v>
      </c>
      <c r="BK7" s="20" t="str">
        <f t="shared" ca="1" si="47"/>
        <v>m</v>
      </c>
      <c r="BL7" s="20" t="str">
        <f t="shared" ca="1" si="47"/>
        <v>m</v>
      </c>
      <c r="BM7" s="20" t="str">
        <f t="shared" ref="BM7:BR7" ca="1" si="48">LEFT(TEXT(BM5,"ddd"),1)</f>
        <v>j</v>
      </c>
      <c r="BN7" s="20" t="str">
        <f t="shared" ca="1" si="48"/>
        <v>v</v>
      </c>
      <c r="BO7" s="20" t="str">
        <f t="shared" ca="1" si="48"/>
        <v>s</v>
      </c>
      <c r="BP7" s="20" t="str">
        <f t="shared" ca="1" si="48"/>
        <v>d</v>
      </c>
      <c r="BQ7" s="20" t="str">
        <f t="shared" ca="1" si="48"/>
        <v>l</v>
      </c>
      <c r="BR7" s="20" t="str">
        <f t="shared" ca="1" si="48"/>
        <v>m</v>
      </c>
      <c r="BS7" s="20" t="str">
        <f t="shared" ref="BS7:CD7" ca="1" si="49">LEFT(TEXT(BS5,"ddd"),1)</f>
        <v>m</v>
      </c>
      <c r="BT7" s="20" t="str">
        <f t="shared" ca="1" si="49"/>
        <v>j</v>
      </c>
      <c r="BU7" s="20" t="str">
        <f t="shared" ca="1" si="49"/>
        <v>v</v>
      </c>
      <c r="BV7" s="20" t="str">
        <f t="shared" ca="1" si="49"/>
        <v>s</v>
      </c>
      <c r="BW7" s="20" t="str">
        <f t="shared" ca="1" si="49"/>
        <v>d</v>
      </c>
      <c r="BX7" s="20" t="str">
        <f t="shared" ca="1" si="49"/>
        <v>l</v>
      </c>
      <c r="BY7" s="20" t="str">
        <f t="shared" ca="1" si="49"/>
        <v>m</v>
      </c>
      <c r="BZ7" s="20" t="str">
        <f t="shared" ca="1" si="49"/>
        <v>m</v>
      </c>
      <c r="CA7" s="20" t="str">
        <f t="shared" ca="1" si="49"/>
        <v>j</v>
      </c>
      <c r="CB7" s="20" t="str">
        <f t="shared" ca="1" si="49"/>
        <v>v</v>
      </c>
      <c r="CC7" s="20" t="str">
        <f t="shared" ca="1" si="49"/>
        <v>s</v>
      </c>
      <c r="CD7" s="20" t="str">
        <f t="shared" ca="1" si="49"/>
        <v>d</v>
      </c>
      <c r="CE7" s="20" t="str">
        <f t="shared" ref="CE7:CZ7" ca="1" si="50">LEFT(TEXT(CE5,"ddd"),1)</f>
        <v>l</v>
      </c>
      <c r="CF7" s="20" t="str">
        <f t="shared" ca="1" si="50"/>
        <v>m</v>
      </c>
      <c r="CG7" s="20" t="str">
        <f t="shared" ca="1" si="50"/>
        <v>m</v>
      </c>
      <c r="CH7" s="20" t="str">
        <f t="shared" ca="1" si="50"/>
        <v>j</v>
      </c>
      <c r="CI7" s="20" t="str">
        <f t="shared" ca="1" si="50"/>
        <v>v</v>
      </c>
      <c r="CJ7" s="20" t="str">
        <f t="shared" ca="1" si="50"/>
        <v>s</v>
      </c>
      <c r="CK7" s="20" t="str">
        <f t="shared" ca="1" si="50"/>
        <v>d</v>
      </c>
      <c r="CL7" s="20" t="str">
        <f t="shared" ca="1" si="50"/>
        <v>l</v>
      </c>
      <c r="CM7" s="20" t="str">
        <f t="shared" ca="1" si="50"/>
        <v>m</v>
      </c>
      <c r="CN7" s="20" t="str">
        <f t="shared" ca="1" si="50"/>
        <v>m</v>
      </c>
      <c r="CO7" s="20" t="str">
        <f t="shared" ca="1" si="50"/>
        <v>j</v>
      </c>
      <c r="CP7" s="20" t="str">
        <f t="shared" ca="1" si="50"/>
        <v>v</v>
      </c>
      <c r="CQ7" s="20" t="str">
        <f t="shared" ca="1" si="50"/>
        <v>s</v>
      </c>
      <c r="CR7" s="20" t="str">
        <f t="shared" ca="1" si="50"/>
        <v>d</v>
      </c>
      <c r="CS7" s="20" t="str">
        <f t="shared" ca="1" si="50"/>
        <v>l</v>
      </c>
      <c r="CT7" s="20" t="str">
        <f t="shared" ca="1" si="50"/>
        <v>m</v>
      </c>
      <c r="CU7" s="20" t="str">
        <f t="shared" ca="1" si="50"/>
        <v>m</v>
      </c>
      <c r="CV7" s="20" t="str">
        <f t="shared" ca="1" si="50"/>
        <v>j</v>
      </c>
      <c r="CW7" s="20" t="str">
        <f t="shared" ca="1" si="50"/>
        <v>v</v>
      </c>
      <c r="CX7" s="20" t="str">
        <f t="shared" ca="1" si="50"/>
        <v>s</v>
      </c>
      <c r="CY7" s="20" t="str">
        <f t="shared" ca="1" si="50"/>
        <v>d</v>
      </c>
      <c r="CZ7" s="20" t="str">
        <f t="shared" ca="1" si="50"/>
        <v>l</v>
      </c>
      <c r="DA7" s="20" t="str">
        <f t="shared" ref="DA7:DB7" ca="1" si="51">LEFT(TEXT(DA5,"ddd"),1)</f>
        <v>m</v>
      </c>
      <c r="DB7" s="20" t="str">
        <f t="shared" ca="1" si="51"/>
        <v>m</v>
      </c>
    </row>
    <row r="8" spans="1:106" ht="30" hidden="1" customHeight="1" x14ac:dyDescent="0.3">
      <c r="A8" s="14" t="s">
        <v>7</v>
      </c>
      <c r="B8" s="44"/>
      <c r="C8" s="28"/>
      <c r="D8" s="28"/>
      <c r="E8" s="28"/>
      <c r="F8" s="28"/>
      <c r="G8" s="28"/>
      <c r="I8" s="29"/>
      <c r="J8" s="29"/>
      <c r="K8" s="29"/>
      <c r="L8" s="29"/>
      <c r="M8" s="29"/>
      <c r="N8" s="29"/>
      <c r="O8" s="29"/>
      <c r="P8" s="29"/>
      <c r="Q8" s="29"/>
      <c r="R8" s="29"/>
      <c r="S8" s="29"/>
      <c r="T8" s="29"/>
      <c r="U8" s="29"/>
      <c r="V8" s="29"/>
      <c r="W8" s="29"/>
      <c r="X8" s="29"/>
      <c r="Y8" s="29"/>
      <c r="Z8" s="29"/>
      <c r="AA8" s="29"/>
      <c r="AB8" s="29"/>
      <c r="AC8" s="29"/>
      <c r="AD8" s="29"/>
      <c r="AE8" s="29"/>
      <c r="AF8" s="29"/>
      <c r="AG8" s="29"/>
      <c r="AH8" s="29"/>
      <c r="AI8" s="29"/>
      <c r="AJ8" s="29"/>
      <c r="AK8" s="29"/>
      <c r="AL8" s="29"/>
      <c r="AM8" s="29"/>
      <c r="AN8" s="29"/>
      <c r="AO8" s="29"/>
      <c r="AP8" s="29"/>
      <c r="AQ8" s="29"/>
      <c r="AR8" s="29"/>
      <c r="AS8" s="29"/>
      <c r="AT8" s="29"/>
      <c r="AU8" s="29"/>
      <c r="AV8" s="29"/>
      <c r="AW8" s="29"/>
      <c r="AX8" s="29"/>
      <c r="AY8" s="29"/>
      <c r="AZ8" s="29"/>
      <c r="BA8" s="29"/>
      <c r="BB8" s="29"/>
      <c r="BC8" s="29"/>
      <c r="BD8" s="29"/>
      <c r="BE8" s="29"/>
      <c r="BF8" s="29"/>
      <c r="BG8" s="29"/>
      <c r="BH8" s="29"/>
      <c r="BI8" s="29"/>
      <c r="BJ8" s="29"/>
      <c r="BK8" s="29"/>
      <c r="BL8" s="29"/>
      <c r="BM8" s="29"/>
      <c r="BN8" s="29"/>
      <c r="BO8" s="29"/>
      <c r="BP8" s="29"/>
      <c r="BQ8" s="29"/>
      <c r="BR8" s="29"/>
      <c r="BS8" s="29"/>
      <c r="BT8" s="29"/>
      <c r="BU8" s="29"/>
      <c r="BV8" s="29"/>
      <c r="BW8" s="29"/>
      <c r="BX8" s="29"/>
      <c r="BY8" s="29"/>
      <c r="BZ8" s="29"/>
      <c r="CA8" s="29"/>
      <c r="CB8" s="29"/>
      <c r="CC8" s="29"/>
      <c r="CD8" s="29"/>
      <c r="CE8" s="29"/>
      <c r="CF8" s="29"/>
      <c r="CG8" s="29"/>
      <c r="CH8" s="29"/>
      <c r="CI8" s="29"/>
      <c r="CJ8" s="29"/>
      <c r="CK8" s="29"/>
      <c r="CL8" s="29"/>
      <c r="CM8" s="29"/>
      <c r="CN8" s="29"/>
      <c r="CO8" s="29"/>
      <c r="CP8" s="29"/>
      <c r="CQ8" s="29"/>
      <c r="CR8" s="29"/>
      <c r="CS8" s="29"/>
      <c r="CT8" s="29"/>
      <c r="CU8" s="29"/>
      <c r="CV8" s="29"/>
      <c r="CW8" s="29"/>
      <c r="CX8" s="29"/>
      <c r="CY8" s="29"/>
      <c r="CZ8" s="29"/>
      <c r="DA8" s="29"/>
      <c r="DB8" s="29"/>
    </row>
    <row r="9" spans="1:106" s="2" customFormat="1" ht="20.399999999999999" customHeight="1" x14ac:dyDescent="0.4">
      <c r="A9" s="45" t="s">
        <v>8</v>
      </c>
      <c r="B9" s="46" t="s">
        <v>45</v>
      </c>
      <c r="C9" s="47"/>
      <c r="D9" s="47"/>
      <c r="E9" s="34"/>
      <c r="F9" s="34"/>
      <c r="G9" s="34"/>
      <c r="H9" s="21"/>
      <c r="I9" s="31" t="str">
        <f t="shared" ref="I9:X24" ca="1" si="52">IF(AND($C9="Objetivo",I$5&gt;=$F9,I$5&lt;=$F9+$G9-1),2,IF(AND($C9="Hito",I$5&gt;=$F9,I$5&lt;=$F9+$G9-1),1,""))</f>
        <v/>
      </c>
      <c r="J9" s="31" t="str">
        <f t="shared" ca="1" si="52"/>
        <v/>
      </c>
      <c r="K9" s="31" t="str">
        <f t="shared" ca="1" si="52"/>
        <v/>
      </c>
      <c r="L9" s="31" t="str">
        <f t="shared" ca="1" si="52"/>
        <v/>
      </c>
      <c r="M9" s="31" t="str">
        <f t="shared" ca="1" si="52"/>
        <v/>
      </c>
      <c r="N9" s="31" t="str">
        <f t="shared" ca="1" si="52"/>
        <v/>
      </c>
      <c r="O9" s="31" t="str">
        <f t="shared" ca="1" si="52"/>
        <v/>
      </c>
      <c r="P9" s="31" t="str">
        <f t="shared" ca="1" si="52"/>
        <v/>
      </c>
      <c r="Q9" s="31" t="str">
        <f t="shared" ca="1" si="52"/>
        <v/>
      </c>
      <c r="R9" s="31" t="str">
        <f t="shared" ca="1" si="52"/>
        <v/>
      </c>
      <c r="S9" s="31" t="str">
        <f t="shared" ca="1" si="52"/>
        <v/>
      </c>
      <c r="T9" s="31" t="str">
        <f t="shared" ca="1" si="52"/>
        <v/>
      </c>
      <c r="U9" s="31" t="str">
        <f t="shared" ca="1" si="52"/>
        <v/>
      </c>
      <c r="V9" s="31" t="str">
        <f t="shared" ca="1" si="52"/>
        <v/>
      </c>
      <c r="W9" s="31" t="str">
        <f t="shared" ca="1" si="52"/>
        <v/>
      </c>
      <c r="X9" s="31" t="str">
        <f t="shared" ca="1" si="52"/>
        <v/>
      </c>
      <c r="Y9" s="31" t="str">
        <f t="shared" ref="Y9:AN24" ca="1" si="53">IF(AND($C9="Objetivo",Y$5&gt;=$F9,Y$5&lt;=$F9+$G9-1),2,IF(AND($C9="Hito",Y$5&gt;=$F9,Y$5&lt;=$F9+$G9-1),1,""))</f>
        <v/>
      </c>
      <c r="Z9" s="31" t="str">
        <f t="shared" ca="1" si="53"/>
        <v/>
      </c>
      <c r="AA9" s="31" t="str">
        <f t="shared" ca="1" si="53"/>
        <v/>
      </c>
      <c r="AB9" s="31" t="str">
        <f t="shared" ca="1" si="53"/>
        <v/>
      </c>
      <c r="AC9" s="31" t="str">
        <f t="shared" ca="1" si="53"/>
        <v/>
      </c>
      <c r="AD9" s="31" t="str">
        <f t="shared" ca="1" si="53"/>
        <v/>
      </c>
      <c r="AE9" s="31" t="str">
        <f t="shared" ca="1" si="53"/>
        <v/>
      </c>
      <c r="AF9" s="31" t="str">
        <f t="shared" ca="1" si="53"/>
        <v/>
      </c>
      <c r="AG9" s="31" t="str">
        <f t="shared" ca="1" si="53"/>
        <v/>
      </c>
      <c r="AH9" s="31" t="str">
        <f t="shared" ca="1" si="53"/>
        <v/>
      </c>
      <c r="AI9" s="31" t="str">
        <f t="shared" ca="1" si="53"/>
        <v/>
      </c>
      <c r="AJ9" s="31" t="str">
        <f t="shared" ca="1" si="53"/>
        <v/>
      </c>
      <c r="AK9" s="31" t="str">
        <f t="shared" ca="1" si="53"/>
        <v/>
      </c>
      <c r="AL9" s="31" t="str">
        <f t="shared" ca="1" si="53"/>
        <v/>
      </c>
      <c r="AM9" s="31" t="str">
        <f t="shared" ca="1" si="53"/>
        <v/>
      </c>
      <c r="AN9" s="31" t="str">
        <f t="shared" ca="1" si="53"/>
        <v/>
      </c>
      <c r="AO9" s="31" t="str">
        <f t="shared" ref="AO9:BD24" ca="1" si="54">IF(AND($C9="Objetivo",AO$5&gt;=$F9,AO$5&lt;=$F9+$G9-1),2,IF(AND($C9="Hito",AO$5&gt;=$F9,AO$5&lt;=$F9+$G9-1),1,""))</f>
        <v/>
      </c>
      <c r="AP9" s="31" t="str">
        <f t="shared" ca="1" si="54"/>
        <v/>
      </c>
      <c r="AQ9" s="31" t="str">
        <f t="shared" ca="1" si="54"/>
        <v/>
      </c>
      <c r="AR9" s="31" t="str">
        <f t="shared" ca="1" si="54"/>
        <v/>
      </c>
      <c r="AS9" s="31" t="str">
        <f t="shared" ca="1" si="54"/>
        <v/>
      </c>
      <c r="AT9" s="31" t="str">
        <f t="shared" ca="1" si="54"/>
        <v/>
      </c>
      <c r="AU9" s="31" t="str">
        <f t="shared" ca="1" si="54"/>
        <v/>
      </c>
      <c r="AV9" s="31" t="str">
        <f t="shared" ca="1" si="54"/>
        <v/>
      </c>
      <c r="AW9" s="31" t="str">
        <f t="shared" ca="1" si="54"/>
        <v/>
      </c>
      <c r="AX9" s="31" t="str">
        <f t="shared" ca="1" si="54"/>
        <v/>
      </c>
      <c r="AY9" s="31" t="str">
        <f t="shared" ca="1" si="54"/>
        <v/>
      </c>
      <c r="AZ9" s="31" t="str">
        <f t="shared" ca="1" si="54"/>
        <v/>
      </c>
      <c r="BA9" s="31" t="str">
        <f t="shared" ca="1" si="54"/>
        <v/>
      </c>
      <c r="BB9" s="31" t="str">
        <f t="shared" ca="1" si="54"/>
        <v/>
      </c>
      <c r="BC9" s="31" t="str">
        <f t="shared" ca="1" si="54"/>
        <v/>
      </c>
      <c r="BD9" s="31" t="str">
        <f t="shared" ca="1" si="54"/>
        <v/>
      </c>
      <c r="BE9" s="31" t="str">
        <f t="shared" ref="BE9:BT24" ca="1" si="55">IF(AND($C9="Objetivo",BE$5&gt;=$F9,BE$5&lt;=$F9+$G9-1),2,IF(AND($C9="Hito",BE$5&gt;=$F9,BE$5&lt;=$F9+$G9-1),1,""))</f>
        <v/>
      </c>
      <c r="BF9" s="31" t="str">
        <f t="shared" ca="1" si="55"/>
        <v/>
      </c>
      <c r="BG9" s="31" t="str">
        <f t="shared" ca="1" si="55"/>
        <v/>
      </c>
      <c r="BH9" s="31" t="str">
        <f t="shared" ca="1" si="55"/>
        <v/>
      </c>
      <c r="BI9" s="31" t="str">
        <f t="shared" ca="1" si="55"/>
        <v/>
      </c>
      <c r="BJ9" s="31" t="str">
        <f t="shared" ca="1" si="55"/>
        <v/>
      </c>
      <c r="BK9" s="31" t="str">
        <f t="shared" ca="1" si="55"/>
        <v/>
      </c>
      <c r="BL9" s="31" t="str">
        <f t="shared" ca="1" si="55"/>
        <v/>
      </c>
      <c r="BM9" s="31" t="str">
        <f t="shared" ca="1" si="55"/>
        <v/>
      </c>
      <c r="BN9" s="31" t="str">
        <f t="shared" ca="1" si="55"/>
        <v/>
      </c>
      <c r="BO9" s="31" t="str">
        <f t="shared" ca="1" si="55"/>
        <v/>
      </c>
      <c r="BP9" s="31" t="str">
        <f t="shared" ca="1" si="55"/>
        <v/>
      </c>
      <c r="BQ9" s="31" t="str">
        <f t="shared" ca="1" si="55"/>
        <v/>
      </c>
      <c r="BR9" s="31" t="str">
        <f t="shared" ca="1" si="55"/>
        <v/>
      </c>
      <c r="BS9" s="31" t="str">
        <f t="shared" ca="1" si="55"/>
        <v/>
      </c>
      <c r="BT9" s="31" t="str">
        <f t="shared" ca="1" si="55"/>
        <v/>
      </c>
      <c r="BU9" s="31" t="str">
        <f t="shared" ref="BS9:CH24" ca="1" si="56">IF(AND($C9="Objetivo",BU$5&gt;=$F9,BU$5&lt;=$F9+$G9-1),2,IF(AND($C9="Hito",BU$5&gt;=$F9,BU$5&lt;=$F9+$G9-1),1,""))</f>
        <v/>
      </c>
      <c r="BV9" s="31" t="str">
        <f t="shared" ca="1" si="56"/>
        <v/>
      </c>
      <c r="BW9" s="31" t="str">
        <f t="shared" ca="1" si="56"/>
        <v/>
      </c>
      <c r="BX9" s="31" t="str">
        <f t="shared" ca="1" si="56"/>
        <v/>
      </c>
      <c r="BY9" s="31" t="str">
        <f t="shared" ca="1" si="56"/>
        <v/>
      </c>
      <c r="BZ9" s="31" t="str">
        <f t="shared" ca="1" si="56"/>
        <v/>
      </c>
      <c r="CA9" s="31" t="str">
        <f t="shared" ca="1" si="56"/>
        <v/>
      </c>
      <c r="CB9" s="31" t="str">
        <f t="shared" ca="1" si="56"/>
        <v/>
      </c>
      <c r="CC9" s="31" t="str">
        <f t="shared" ca="1" si="56"/>
        <v/>
      </c>
      <c r="CD9" s="31" t="str">
        <f t="shared" ca="1" si="56"/>
        <v/>
      </c>
      <c r="CE9" s="31" t="str">
        <f t="shared" ca="1" si="56"/>
        <v/>
      </c>
      <c r="CF9" s="31" t="str">
        <f t="shared" ca="1" si="56"/>
        <v/>
      </c>
      <c r="CG9" s="31" t="str">
        <f t="shared" ca="1" si="56"/>
        <v/>
      </c>
      <c r="CH9" s="31" t="str">
        <f t="shared" ca="1" si="56"/>
        <v/>
      </c>
      <c r="CI9" s="31" t="str">
        <f t="shared" ref="CC9:CZ19" ca="1" si="57">IF(AND($C9="Objetivo",CI$5&gt;=$F9,CI$5&lt;=$F9+$G9-1),2,IF(AND($C9="Hito",CI$5&gt;=$F9,CI$5&lt;=$F9+$G9-1),1,""))</f>
        <v/>
      </c>
      <c r="CJ9" s="31" t="str">
        <f t="shared" ca="1" si="57"/>
        <v/>
      </c>
      <c r="CK9" s="31" t="str">
        <f t="shared" ca="1" si="57"/>
        <v/>
      </c>
      <c r="CL9" s="31" t="str">
        <f t="shared" ca="1" si="57"/>
        <v/>
      </c>
      <c r="CM9" s="31" t="str">
        <f t="shared" ca="1" si="57"/>
        <v/>
      </c>
      <c r="CN9" s="31" t="str">
        <f t="shared" ca="1" si="57"/>
        <v/>
      </c>
      <c r="CO9" s="31" t="str">
        <f t="shared" ca="1" si="57"/>
        <v/>
      </c>
      <c r="CP9" s="31" t="str">
        <f t="shared" ca="1" si="57"/>
        <v/>
      </c>
      <c r="CQ9" s="31" t="str">
        <f t="shared" ca="1" si="57"/>
        <v/>
      </c>
      <c r="CR9" s="31" t="str">
        <f t="shared" ca="1" si="57"/>
        <v/>
      </c>
      <c r="CS9" s="31" t="str">
        <f t="shared" ca="1" si="57"/>
        <v/>
      </c>
      <c r="CT9" s="31" t="str">
        <f t="shared" ca="1" si="57"/>
        <v/>
      </c>
      <c r="CU9" s="31" t="str">
        <f t="shared" ca="1" si="57"/>
        <v/>
      </c>
      <c r="CV9" s="31" t="str">
        <f t="shared" ca="1" si="57"/>
        <v/>
      </c>
      <c r="CW9" s="31" t="str">
        <f t="shared" ca="1" si="57"/>
        <v/>
      </c>
      <c r="CX9" s="31" t="str">
        <f t="shared" ca="1" si="57"/>
        <v/>
      </c>
      <c r="CY9" s="31" t="str">
        <f t="shared" ca="1" si="57"/>
        <v/>
      </c>
      <c r="CZ9" s="31" t="str">
        <f t="shared" ca="1" si="57"/>
        <v/>
      </c>
      <c r="DA9" s="31" t="str">
        <f t="shared" ref="DA9:DB24" ca="1" si="58">IF(AND($C9="Objetivo",DA$5&gt;=$F9,DA$5&lt;=$F9+$G9-1),2,IF(AND($C9="Hito",DA$5&gt;=$F9,DA$5&lt;=$F9+$G9-1),1,""))</f>
        <v/>
      </c>
      <c r="DB9" s="31" t="str">
        <f t="shared" ca="1" si="58"/>
        <v/>
      </c>
    </row>
    <row r="10" spans="1:106" s="2" customFormat="1" ht="42" x14ac:dyDescent="0.4">
      <c r="A10" s="45"/>
      <c r="B10" s="48" t="s">
        <v>34</v>
      </c>
      <c r="C10" s="47" t="s">
        <v>20</v>
      </c>
      <c r="D10" s="47" t="s">
        <v>37</v>
      </c>
      <c r="E10" s="49">
        <v>1</v>
      </c>
      <c r="F10" s="50">
        <v>45876</v>
      </c>
      <c r="G10" s="51">
        <v>3</v>
      </c>
      <c r="H10" s="21"/>
      <c r="I10" s="31" t="str">
        <f ca="1">IF(AND($C10="Objetivo",I$5&gt;=$F10,I$5&lt;=$F10+$G10-1),2,IF(AND($C10="Hito",I$5&gt;=$F10,I$5&lt;=$F10+$G10-1),1,""))</f>
        <v/>
      </c>
      <c r="J10" s="31" t="str">
        <f t="shared" ca="1" si="52"/>
        <v/>
      </c>
      <c r="K10" s="31" t="str">
        <f t="shared" ca="1" si="52"/>
        <v/>
      </c>
      <c r="L10" s="31" t="str">
        <f t="shared" ca="1" si="52"/>
        <v/>
      </c>
      <c r="M10" s="31" t="str">
        <f t="shared" ca="1" si="52"/>
        <v/>
      </c>
      <c r="N10" s="31" t="str">
        <f t="shared" ca="1" si="52"/>
        <v/>
      </c>
      <c r="O10" s="31" t="str">
        <f t="shared" ca="1" si="52"/>
        <v/>
      </c>
      <c r="P10" s="31" t="str">
        <f t="shared" ca="1" si="52"/>
        <v/>
      </c>
      <c r="Q10" s="31" t="str">
        <f t="shared" ca="1" si="52"/>
        <v/>
      </c>
      <c r="R10" s="31" t="str">
        <f t="shared" ca="1" si="52"/>
        <v/>
      </c>
      <c r="S10" s="31" t="str">
        <f t="shared" ca="1" si="52"/>
        <v/>
      </c>
      <c r="T10" s="31" t="str">
        <f t="shared" ca="1" si="52"/>
        <v/>
      </c>
      <c r="U10" s="31" t="str">
        <f t="shared" ca="1" si="52"/>
        <v/>
      </c>
      <c r="V10" s="31" t="str">
        <f t="shared" ca="1" si="52"/>
        <v/>
      </c>
      <c r="W10" s="31" t="str">
        <f t="shared" ca="1" si="52"/>
        <v/>
      </c>
      <c r="X10" s="31" t="str">
        <f t="shared" ca="1" si="52"/>
        <v/>
      </c>
      <c r="Y10" s="31" t="str">
        <f t="shared" ca="1" si="53"/>
        <v/>
      </c>
      <c r="Z10" s="31" t="str">
        <f t="shared" ca="1" si="53"/>
        <v/>
      </c>
      <c r="AA10" s="31" t="str">
        <f t="shared" ca="1" si="53"/>
        <v/>
      </c>
      <c r="AB10" s="31" t="str">
        <f t="shared" ca="1" si="53"/>
        <v/>
      </c>
      <c r="AC10" s="31" t="str">
        <f t="shared" ca="1" si="53"/>
        <v/>
      </c>
      <c r="AD10" s="31" t="str">
        <f t="shared" ca="1" si="53"/>
        <v/>
      </c>
      <c r="AE10" s="31" t="str">
        <f t="shared" ca="1" si="53"/>
        <v/>
      </c>
      <c r="AF10" s="31" t="str">
        <f t="shared" ca="1" si="53"/>
        <v/>
      </c>
      <c r="AG10" s="31" t="str">
        <f t="shared" ca="1" si="53"/>
        <v/>
      </c>
      <c r="AH10" s="31" t="str">
        <f t="shared" ca="1" si="53"/>
        <v/>
      </c>
      <c r="AI10" s="31" t="str">
        <f t="shared" ca="1" si="53"/>
        <v/>
      </c>
      <c r="AJ10" s="31" t="str">
        <f t="shared" ca="1" si="53"/>
        <v/>
      </c>
      <c r="AK10" s="31" t="str">
        <f t="shared" ca="1" si="53"/>
        <v/>
      </c>
      <c r="AL10" s="31" t="str">
        <f t="shared" ca="1" si="53"/>
        <v/>
      </c>
      <c r="AM10" s="31" t="str">
        <f t="shared" ca="1" si="53"/>
        <v/>
      </c>
      <c r="AN10" s="31" t="str">
        <f t="shared" ca="1" si="53"/>
        <v/>
      </c>
      <c r="AO10" s="31" t="str">
        <f t="shared" ca="1" si="54"/>
        <v/>
      </c>
      <c r="AP10" s="31" t="str">
        <f t="shared" ca="1" si="54"/>
        <v/>
      </c>
      <c r="AQ10" s="31" t="str">
        <f t="shared" ca="1" si="54"/>
        <v/>
      </c>
      <c r="AR10" s="31" t="str">
        <f t="shared" ca="1" si="54"/>
        <v/>
      </c>
      <c r="AS10" s="31" t="str">
        <f t="shared" ca="1" si="54"/>
        <v/>
      </c>
      <c r="AT10" s="31" t="str">
        <f t="shared" ca="1" si="54"/>
        <v/>
      </c>
      <c r="AU10" s="31" t="str">
        <f t="shared" ca="1" si="54"/>
        <v/>
      </c>
      <c r="AV10" s="31" t="str">
        <f t="shared" ca="1" si="54"/>
        <v/>
      </c>
      <c r="AW10" s="31" t="str">
        <f t="shared" ca="1" si="54"/>
        <v/>
      </c>
      <c r="AX10" s="31" t="str">
        <f t="shared" ca="1" si="54"/>
        <v/>
      </c>
      <c r="AY10" s="31" t="str">
        <f t="shared" ca="1" si="54"/>
        <v/>
      </c>
      <c r="AZ10" s="31" t="str">
        <f t="shared" ca="1" si="54"/>
        <v/>
      </c>
      <c r="BA10" s="31" t="str">
        <f t="shared" ca="1" si="54"/>
        <v/>
      </c>
      <c r="BB10" s="31" t="str">
        <f t="shared" ca="1" si="54"/>
        <v/>
      </c>
      <c r="BC10" s="31" t="str">
        <f t="shared" ca="1" si="54"/>
        <v/>
      </c>
      <c r="BD10" s="31" t="str">
        <f t="shared" ca="1" si="54"/>
        <v/>
      </c>
      <c r="BE10" s="31" t="str">
        <f t="shared" ca="1" si="55"/>
        <v/>
      </c>
      <c r="BF10" s="31" t="str">
        <f t="shared" ca="1" si="55"/>
        <v/>
      </c>
      <c r="BG10" s="31" t="str">
        <f t="shared" ca="1" si="55"/>
        <v/>
      </c>
      <c r="BH10" s="31" t="str">
        <f t="shared" ca="1" si="55"/>
        <v/>
      </c>
      <c r="BI10" s="31" t="str">
        <f t="shared" ca="1" si="55"/>
        <v/>
      </c>
      <c r="BJ10" s="31" t="str">
        <f t="shared" ca="1" si="55"/>
        <v/>
      </c>
      <c r="BK10" s="31" t="str">
        <f t="shared" ca="1" si="55"/>
        <v/>
      </c>
      <c r="BL10" s="31" t="str">
        <f t="shared" ca="1" si="55"/>
        <v/>
      </c>
      <c r="BM10" s="31" t="str">
        <f t="shared" ca="1" si="55"/>
        <v/>
      </c>
      <c r="BN10" s="31" t="str">
        <f t="shared" ca="1" si="55"/>
        <v/>
      </c>
      <c r="BO10" s="31" t="str">
        <f t="shared" ca="1" si="55"/>
        <v/>
      </c>
      <c r="BP10" s="31" t="str">
        <f t="shared" ca="1" si="55"/>
        <v/>
      </c>
      <c r="BQ10" s="31" t="str">
        <f t="shared" ca="1" si="55"/>
        <v/>
      </c>
      <c r="BR10" s="31" t="str">
        <f t="shared" ca="1" si="55"/>
        <v/>
      </c>
      <c r="BS10" s="31" t="str">
        <f t="shared" ca="1" si="56"/>
        <v/>
      </c>
      <c r="BT10" s="31" t="str">
        <f t="shared" ca="1" si="56"/>
        <v/>
      </c>
      <c r="BU10" s="31" t="str">
        <f t="shared" ca="1" si="56"/>
        <v/>
      </c>
      <c r="BV10" s="31" t="str">
        <f t="shared" ca="1" si="56"/>
        <v/>
      </c>
      <c r="BW10" s="31" t="str">
        <f t="shared" ca="1" si="56"/>
        <v/>
      </c>
      <c r="BX10" s="31" t="str">
        <f t="shared" ca="1" si="56"/>
        <v/>
      </c>
      <c r="BY10" s="31" t="str">
        <f t="shared" ca="1" si="56"/>
        <v/>
      </c>
      <c r="BZ10" s="31" t="str">
        <f t="shared" ca="1" si="56"/>
        <v/>
      </c>
      <c r="CA10" s="31" t="str">
        <f t="shared" ca="1" si="56"/>
        <v/>
      </c>
      <c r="CB10" s="31" t="str">
        <f t="shared" ca="1" si="56"/>
        <v/>
      </c>
      <c r="CC10" s="31" t="str">
        <f t="shared" ca="1" si="57"/>
        <v/>
      </c>
      <c r="CD10" s="31" t="str">
        <f t="shared" ca="1" si="57"/>
        <v/>
      </c>
      <c r="CE10" s="31" t="str">
        <f t="shared" ca="1" si="57"/>
        <v/>
      </c>
      <c r="CF10" s="31" t="str">
        <f t="shared" ca="1" si="57"/>
        <v/>
      </c>
      <c r="CG10" s="31" t="str">
        <f t="shared" ca="1" si="57"/>
        <v/>
      </c>
      <c r="CH10" s="31" t="str">
        <f t="shared" ca="1" si="57"/>
        <v/>
      </c>
      <c r="CI10" s="31" t="str">
        <f t="shared" ca="1" si="57"/>
        <v/>
      </c>
      <c r="CJ10" s="31" t="str">
        <f t="shared" ca="1" si="57"/>
        <v/>
      </c>
      <c r="CK10" s="31" t="str">
        <f t="shared" ca="1" si="57"/>
        <v/>
      </c>
      <c r="CL10" s="31" t="str">
        <f t="shared" ca="1" si="57"/>
        <v/>
      </c>
      <c r="CM10" s="31" t="str">
        <f t="shared" ca="1" si="57"/>
        <v/>
      </c>
      <c r="CN10" s="31" t="str">
        <f t="shared" ca="1" si="57"/>
        <v/>
      </c>
      <c r="CO10" s="31" t="str">
        <f t="shared" ca="1" si="57"/>
        <v/>
      </c>
      <c r="CP10" s="31" t="str">
        <f t="shared" ca="1" si="57"/>
        <v/>
      </c>
      <c r="CQ10" s="31" t="str">
        <f t="shared" ca="1" si="57"/>
        <v/>
      </c>
      <c r="CR10" s="31" t="str">
        <f t="shared" ca="1" si="57"/>
        <v/>
      </c>
      <c r="CS10" s="31" t="str">
        <f t="shared" ca="1" si="57"/>
        <v/>
      </c>
      <c r="CT10" s="31" t="str">
        <f t="shared" ca="1" si="57"/>
        <v/>
      </c>
      <c r="CU10" s="31" t="str">
        <f t="shared" ca="1" si="57"/>
        <v/>
      </c>
      <c r="CV10" s="31" t="str">
        <f t="shared" ca="1" si="57"/>
        <v/>
      </c>
      <c r="CW10" s="31" t="str">
        <f t="shared" ca="1" si="57"/>
        <v/>
      </c>
      <c r="CX10" s="31" t="str">
        <f t="shared" ca="1" si="57"/>
        <v/>
      </c>
      <c r="CY10" s="31" t="str">
        <f t="shared" ca="1" si="57"/>
        <v/>
      </c>
      <c r="CZ10" s="31" t="str">
        <f t="shared" ca="1" si="57"/>
        <v/>
      </c>
      <c r="DA10" s="31" t="str">
        <f t="shared" ca="1" si="58"/>
        <v/>
      </c>
      <c r="DB10" s="31" t="str">
        <f t="shared" ca="1" si="58"/>
        <v/>
      </c>
    </row>
    <row r="11" spans="1:106" s="2" customFormat="1" ht="21" x14ac:dyDescent="0.4">
      <c r="A11" s="45"/>
      <c r="B11" s="48" t="s">
        <v>38</v>
      </c>
      <c r="C11" s="47" t="s">
        <v>16</v>
      </c>
      <c r="D11" s="47" t="s">
        <v>39</v>
      </c>
      <c r="E11" s="49">
        <v>1</v>
      </c>
      <c r="F11" s="50">
        <f>F10+G10</f>
        <v>45879</v>
      </c>
      <c r="G11" s="51">
        <v>7</v>
      </c>
      <c r="H11" s="21"/>
      <c r="I11" s="31" t="str">
        <f t="shared" ref="I11:X26" ca="1" si="59">IF(AND($C11="Objetivo",I$5&gt;=$F11,I$5&lt;=$F11+$G11-1),2,IF(AND($C11="Hito",I$5&gt;=$F11,I$5&lt;=$F11+$G11-1),1,""))</f>
        <v/>
      </c>
      <c r="J11" s="31" t="str">
        <f t="shared" ca="1" si="52"/>
        <v/>
      </c>
      <c r="K11" s="31" t="str">
        <f t="shared" ca="1" si="52"/>
        <v/>
      </c>
      <c r="L11" s="31">
        <f t="shared" ca="1" si="52"/>
        <v>1</v>
      </c>
      <c r="M11" s="31">
        <f t="shared" ca="1" si="52"/>
        <v>1</v>
      </c>
      <c r="N11" s="31">
        <f t="shared" ca="1" si="52"/>
        <v>1</v>
      </c>
      <c r="O11" s="31">
        <f t="shared" ca="1" si="52"/>
        <v>1</v>
      </c>
      <c r="P11" s="31">
        <f t="shared" ca="1" si="52"/>
        <v>1</v>
      </c>
      <c r="Q11" s="31">
        <f t="shared" ca="1" si="52"/>
        <v>1</v>
      </c>
      <c r="R11" s="31">
        <f t="shared" ca="1" si="52"/>
        <v>1</v>
      </c>
      <c r="S11" s="31" t="str">
        <f t="shared" ca="1" si="52"/>
        <v/>
      </c>
      <c r="T11" s="31" t="str">
        <f t="shared" ca="1" si="52"/>
        <v/>
      </c>
      <c r="U11" s="31" t="str">
        <f t="shared" ca="1" si="52"/>
        <v/>
      </c>
      <c r="V11" s="31" t="str">
        <f t="shared" ca="1" si="52"/>
        <v/>
      </c>
      <c r="W11" s="31" t="str">
        <f t="shared" ca="1" si="52"/>
        <v/>
      </c>
      <c r="X11" s="31" t="str">
        <f t="shared" ca="1" si="52"/>
        <v/>
      </c>
      <c r="Y11" s="31" t="str">
        <f t="shared" ca="1" si="53"/>
        <v/>
      </c>
      <c r="Z11" s="31" t="str">
        <f t="shared" ca="1" si="53"/>
        <v/>
      </c>
      <c r="AA11" s="31" t="str">
        <f t="shared" ca="1" si="53"/>
        <v/>
      </c>
      <c r="AB11" s="31" t="str">
        <f t="shared" ca="1" si="53"/>
        <v/>
      </c>
      <c r="AC11" s="31" t="str">
        <f t="shared" ca="1" si="53"/>
        <v/>
      </c>
      <c r="AD11" s="31" t="str">
        <f t="shared" ca="1" si="53"/>
        <v/>
      </c>
      <c r="AE11" s="31" t="str">
        <f t="shared" ca="1" si="53"/>
        <v/>
      </c>
      <c r="AF11" s="31" t="str">
        <f t="shared" ca="1" si="53"/>
        <v/>
      </c>
      <c r="AG11" s="31" t="str">
        <f t="shared" ca="1" si="53"/>
        <v/>
      </c>
      <c r="AH11" s="31" t="str">
        <f t="shared" ca="1" si="53"/>
        <v/>
      </c>
      <c r="AI11" s="31" t="str">
        <f t="shared" ca="1" si="53"/>
        <v/>
      </c>
      <c r="AJ11" s="31" t="str">
        <f t="shared" ca="1" si="53"/>
        <v/>
      </c>
      <c r="AK11" s="31" t="str">
        <f t="shared" ca="1" si="53"/>
        <v/>
      </c>
      <c r="AL11" s="31" t="str">
        <f t="shared" ca="1" si="53"/>
        <v/>
      </c>
      <c r="AM11" s="31" t="str">
        <f t="shared" ca="1" si="53"/>
        <v/>
      </c>
      <c r="AN11" s="31" t="str">
        <f t="shared" ca="1" si="53"/>
        <v/>
      </c>
      <c r="AO11" s="31" t="str">
        <f t="shared" ca="1" si="54"/>
        <v/>
      </c>
      <c r="AP11" s="31" t="str">
        <f t="shared" ca="1" si="54"/>
        <v/>
      </c>
      <c r="AQ11" s="31" t="str">
        <f t="shared" ca="1" si="54"/>
        <v/>
      </c>
      <c r="AR11" s="31" t="str">
        <f t="shared" ca="1" si="54"/>
        <v/>
      </c>
      <c r="AS11" s="31" t="str">
        <f t="shared" ca="1" si="54"/>
        <v/>
      </c>
      <c r="AT11" s="31" t="str">
        <f t="shared" ca="1" si="54"/>
        <v/>
      </c>
      <c r="AU11" s="31" t="str">
        <f t="shared" ca="1" si="54"/>
        <v/>
      </c>
      <c r="AV11" s="31" t="str">
        <f t="shared" ca="1" si="54"/>
        <v/>
      </c>
      <c r="AW11" s="31" t="str">
        <f t="shared" ca="1" si="54"/>
        <v/>
      </c>
      <c r="AX11" s="31" t="str">
        <f t="shared" ca="1" si="54"/>
        <v/>
      </c>
      <c r="AY11" s="31" t="str">
        <f t="shared" ca="1" si="54"/>
        <v/>
      </c>
      <c r="AZ11" s="31" t="str">
        <f t="shared" ca="1" si="54"/>
        <v/>
      </c>
      <c r="BA11" s="31" t="str">
        <f t="shared" ca="1" si="54"/>
        <v/>
      </c>
      <c r="BB11" s="31" t="str">
        <f t="shared" ca="1" si="54"/>
        <v/>
      </c>
      <c r="BC11" s="31" t="str">
        <f t="shared" ca="1" si="54"/>
        <v/>
      </c>
      <c r="BD11" s="31" t="str">
        <f t="shared" ca="1" si="54"/>
        <v/>
      </c>
      <c r="BE11" s="31" t="str">
        <f t="shared" ca="1" si="55"/>
        <v/>
      </c>
      <c r="BF11" s="31" t="str">
        <f t="shared" ca="1" si="55"/>
        <v/>
      </c>
      <c r="BG11" s="31" t="str">
        <f t="shared" ca="1" si="55"/>
        <v/>
      </c>
      <c r="BH11" s="31" t="str">
        <f t="shared" ca="1" si="55"/>
        <v/>
      </c>
      <c r="BI11" s="31" t="str">
        <f t="shared" ca="1" si="55"/>
        <v/>
      </c>
      <c r="BJ11" s="31" t="str">
        <f t="shared" ca="1" si="55"/>
        <v/>
      </c>
      <c r="BK11" s="31" t="str">
        <f t="shared" ca="1" si="55"/>
        <v/>
      </c>
      <c r="BL11" s="31" t="str">
        <f t="shared" ca="1" si="55"/>
        <v/>
      </c>
      <c r="BM11" s="31" t="str">
        <f t="shared" ca="1" si="55"/>
        <v/>
      </c>
      <c r="BN11" s="31" t="str">
        <f t="shared" ca="1" si="55"/>
        <v/>
      </c>
      <c r="BO11" s="31" t="str">
        <f t="shared" ca="1" si="55"/>
        <v/>
      </c>
      <c r="BP11" s="31" t="str">
        <f t="shared" ca="1" si="55"/>
        <v/>
      </c>
      <c r="BQ11" s="31" t="str">
        <f t="shared" ca="1" si="55"/>
        <v/>
      </c>
      <c r="BR11" s="31" t="str">
        <f t="shared" ca="1" si="55"/>
        <v/>
      </c>
      <c r="BS11" s="31" t="str">
        <f t="shared" ca="1" si="56"/>
        <v/>
      </c>
      <c r="BT11" s="31" t="str">
        <f t="shared" ca="1" si="56"/>
        <v/>
      </c>
      <c r="BU11" s="31" t="str">
        <f t="shared" ca="1" si="56"/>
        <v/>
      </c>
      <c r="BV11" s="31" t="str">
        <f t="shared" ca="1" si="56"/>
        <v/>
      </c>
      <c r="BW11" s="31" t="str">
        <f t="shared" ca="1" si="56"/>
        <v/>
      </c>
      <c r="BX11" s="31" t="str">
        <f t="shared" ca="1" si="56"/>
        <v/>
      </c>
      <c r="BY11" s="31" t="str">
        <f t="shared" ca="1" si="56"/>
        <v/>
      </c>
      <c r="BZ11" s="31" t="str">
        <f t="shared" ca="1" si="56"/>
        <v/>
      </c>
      <c r="CA11" s="31" t="str">
        <f t="shared" ca="1" si="56"/>
        <v/>
      </c>
      <c r="CB11" s="31" t="str">
        <f t="shared" ca="1" si="56"/>
        <v/>
      </c>
      <c r="CC11" s="31" t="str">
        <f t="shared" ca="1" si="57"/>
        <v/>
      </c>
      <c r="CD11" s="31" t="str">
        <f t="shared" ca="1" si="57"/>
        <v/>
      </c>
      <c r="CE11" s="31" t="str">
        <f t="shared" ca="1" si="57"/>
        <v/>
      </c>
      <c r="CF11" s="31" t="str">
        <f t="shared" ca="1" si="57"/>
        <v/>
      </c>
      <c r="CG11" s="31" t="str">
        <f t="shared" ca="1" si="57"/>
        <v/>
      </c>
      <c r="CH11" s="31" t="str">
        <f t="shared" ca="1" si="57"/>
        <v/>
      </c>
      <c r="CI11" s="31" t="str">
        <f t="shared" ca="1" si="57"/>
        <v/>
      </c>
      <c r="CJ11" s="31" t="str">
        <f t="shared" ca="1" si="57"/>
        <v/>
      </c>
      <c r="CK11" s="31" t="str">
        <f t="shared" ca="1" si="57"/>
        <v/>
      </c>
      <c r="CL11" s="31" t="str">
        <f t="shared" ca="1" si="57"/>
        <v/>
      </c>
      <c r="CM11" s="31" t="str">
        <f t="shared" ca="1" si="57"/>
        <v/>
      </c>
      <c r="CN11" s="31" t="str">
        <f t="shared" ca="1" si="57"/>
        <v/>
      </c>
      <c r="CO11" s="31" t="str">
        <f t="shared" ca="1" si="57"/>
        <v/>
      </c>
      <c r="CP11" s="31" t="str">
        <f t="shared" ca="1" si="57"/>
        <v/>
      </c>
      <c r="CQ11" s="31" t="str">
        <f t="shared" ca="1" si="57"/>
        <v/>
      </c>
      <c r="CR11" s="31" t="str">
        <f t="shared" ca="1" si="57"/>
        <v/>
      </c>
      <c r="CS11" s="31" t="str">
        <f t="shared" ca="1" si="57"/>
        <v/>
      </c>
      <c r="CT11" s="31" t="str">
        <f t="shared" ca="1" si="57"/>
        <v/>
      </c>
      <c r="CU11" s="31" t="str">
        <f t="shared" ca="1" si="57"/>
        <v/>
      </c>
      <c r="CV11" s="31" t="str">
        <f t="shared" ca="1" si="57"/>
        <v/>
      </c>
      <c r="CW11" s="31" t="str">
        <f t="shared" ca="1" si="57"/>
        <v/>
      </c>
      <c r="CX11" s="31" t="str">
        <f t="shared" ca="1" si="57"/>
        <v/>
      </c>
      <c r="CY11" s="31" t="str">
        <f t="shared" ca="1" si="57"/>
        <v/>
      </c>
      <c r="CZ11" s="31" t="str">
        <f t="shared" ca="1" si="57"/>
        <v/>
      </c>
      <c r="DA11" s="31" t="str">
        <f t="shared" ca="1" si="58"/>
        <v/>
      </c>
      <c r="DB11" s="31" t="str">
        <f t="shared" ca="1" si="58"/>
        <v/>
      </c>
    </row>
    <row r="12" spans="1:106" s="2" customFormat="1" ht="42" x14ac:dyDescent="0.4">
      <c r="A12" s="52"/>
      <c r="B12" s="48" t="s">
        <v>40</v>
      </c>
      <c r="C12" s="47" t="s">
        <v>18</v>
      </c>
      <c r="D12" s="47" t="s">
        <v>41</v>
      </c>
      <c r="E12" s="49">
        <v>1</v>
      </c>
      <c r="F12" s="50">
        <f>F11+G11</f>
        <v>45886</v>
      </c>
      <c r="G12" s="51">
        <v>5</v>
      </c>
      <c r="H12" s="21"/>
      <c r="I12" s="31" t="str">
        <f t="shared" ca="1" si="59"/>
        <v/>
      </c>
      <c r="J12" s="31" t="str">
        <f t="shared" ca="1" si="52"/>
        <v/>
      </c>
      <c r="K12" s="31" t="str">
        <f t="shared" ca="1" si="52"/>
        <v/>
      </c>
      <c r="L12" s="31" t="str">
        <f t="shared" ca="1" si="52"/>
        <v/>
      </c>
      <c r="M12" s="31" t="str">
        <f t="shared" ca="1" si="52"/>
        <v/>
      </c>
      <c r="N12" s="31" t="str">
        <f t="shared" ca="1" si="52"/>
        <v/>
      </c>
      <c r="O12" s="31" t="str">
        <f t="shared" ca="1" si="52"/>
        <v/>
      </c>
      <c r="P12" s="31" t="str">
        <f t="shared" ca="1" si="52"/>
        <v/>
      </c>
      <c r="Q12" s="31" t="str">
        <f t="shared" ca="1" si="52"/>
        <v/>
      </c>
      <c r="R12" s="31" t="str">
        <f ca="1">IF(AND($C12="Objetivo",R$5&gt;=$F12,R$5&lt;=$F12+$G12-1),2,IF(AND($C12="Hito",R$5&gt;=$F12,R$5&lt;=$F12+$G12-1),1,""))</f>
        <v/>
      </c>
      <c r="S12" s="31" t="str">
        <f t="shared" ca="1" si="52"/>
        <v/>
      </c>
      <c r="T12" s="31" t="str">
        <f t="shared" ca="1" si="52"/>
        <v/>
      </c>
      <c r="U12" s="31" t="str">
        <f t="shared" ca="1" si="52"/>
        <v/>
      </c>
      <c r="V12" s="31" t="str">
        <f t="shared" ca="1" si="52"/>
        <v/>
      </c>
      <c r="W12" s="31" t="str">
        <f t="shared" ca="1" si="52"/>
        <v/>
      </c>
      <c r="X12" s="31" t="str">
        <f t="shared" ca="1" si="52"/>
        <v/>
      </c>
      <c r="Y12" s="31" t="str">
        <f t="shared" ca="1" si="53"/>
        <v/>
      </c>
      <c r="Z12" s="31" t="str">
        <f t="shared" ca="1" si="53"/>
        <v/>
      </c>
      <c r="AA12" s="31" t="str">
        <f t="shared" ca="1" si="53"/>
        <v/>
      </c>
      <c r="AB12" s="31" t="str">
        <f t="shared" ca="1" si="53"/>
        <v/>
      </c>
      <c r="AC12" s="31" t="str">
        <f t="shared" ca="1" si="53"/>
        <v/>
      </c>
      <c r="AD12" s="31" t="str">
        <f t="shared" ca="1" si="53"/>
        <v/>
      </c>
      <c r="AE12" s="31" t="str">
        <f t="shared" ref="AE12:AE33" ca="1" si="60">IF(AND($C12="Objetivo",AE$5&gt;=$F12,AE$5&lt;=$F12+$G12-1),2,IF(AND($C12="Hito",AE$5&gt;=$F12,AE$5&lt;=$F12+$G12-1),1,""))</f>
        <v/>
      </c>
      <c r="AF12" s="31" t="str">
        <f t="shared" ca="1" si="53"/>
        <v/>
      </c>
      <c r="AG12" s="31" t="str">
        <f t="shared" ca="1" si="53"/>
        <v/>
      </c>
      <c r="AH12" s="31" t="str">
        <f t="shared" ca="1" si="53"/>
        <v/>
      </c>
      <c r="AI12" s="31" t="str">
        <f t="shared" ca="1" si="53"/>
        <v/>
      </c>
      <c r="AJ12" s="31" t="str">
        <f t="shared" ca="1" si="53"/>
        <v/>
      </c>
      <c r="AK12" s="31" t="str">
        <f t="shared" ca="1" si="53"/>
        <v/>
      </c>
      <c r="AL12" s="31" t="str">
        <f t="shared" ca="1" si="53"/>
        <v/>
      </c>
      <c r="AM12" s="31" t="str">
        <f t="shared" ca="1" si="53"/>
        <v/>
      </c>
      <c r="AN12" s="31" t="str">
        <f t="shared" ca="1" si="53"/>
        <v/>
      </c>
      <c r="AO12" s="31" t="str">
        <f t="shared" ca="1" si="54"/>
        <v/>
      </c>
      <c r="AP12" s="31" t="str">
        <f t="shared" ca="1" si="54"/>
        <v/>
      </c>
      <c r="AQ12" s="31" t="str">
        <f t="shared" ca="1" si="54"/>
        <v/>
      </c>
      <c r="AR12" s="31" t="str">
        <f t="shared" ca="1" si="54"/>
        <v/>
      </c>
      <c r="AS12" s="31" t="str">
        <f t="shared" ca="1" si="54"/>
        <v/>
      </c>
      <c r="AT12" s="31" t="str">
        <f t="shared" ca="1" si="54"/>
        <v/>
      </c>
      <c r="AU12" s="31" t="str">
        <f t="shared" ca="1" si="54"/>
        <v/>
      </c>
      <c r="AV12" s="31" t="str">
        <f t="shared" ca="1" si="54"/>
        <v/>
      </c>
      <c r="AW12" s="31" t="str">
        <f t="shared" ca="1" si="54"/>
        <v/>
      </c>
      <c r="AX12" s="31" t="str">
        <f t="shared" ca="1" si="54"/>
        <v/>
      </c>
      <c r="AY12" s="31" t="str">
        <f t="shared" ca="1" si="54"/>
        <v/>
      </c>
      <c r="AZ12" s="31" t="str">
        <f t="shared" ca="1" si="54"/>
        <v/>
      </c>
      <c r="BA12" s="31" t="str">
        <f t="shared" ca="1" si="54"/>
        <v/>
      </c>
      <c r="BB12" s="31" t="str">
        <f t="shared" ca="1" si="54"/>
        <v/>
      </c>
      <c r="BC12" s="31" t="str">
        <f t="shared" ca="1" si="54"/>
        <v/>
      </c>
      <c r="BD12" s="31" t="str">
        <f t="shared" ca="1" si="54"/>
        <v/>
      </c>
      <c r="BE12" s="31" t="str">
        <f t="shared" ca="1" si="55"/>
        <v/>
      </c>
      <c r="BF12" s="31" t="str">
        <f t="shared" ca="1" si="55"/>
        <v/>
      </c>
      <c r="BG12" s="31" t="str">
        <f t="shared" ca="1" si="55"/>
        <v/>
      </c>
      <c r="BH12" s="31" t="str">
        <f t="shared" ca="1" si="55"/>
        <v/>
      </c>
      <c r="BI12" s="31" t="str">
        <f t="shared" ca="1" si="55"/>
        <v/>
      </c>
      <c r="BJ12" s="31" t="str">
        <f t="shared" ca="1" si="55"/>
        <v/>
      </c>
      <c r="BK12" s="31" t="str">
        <f t="shared" ca="1" si="55"/>
        <v/>
      </c>
      <c r="BL12" s="31" t="str">
        <f t="shared" ca="1" si="55"/>
        <v/>
      </c>
      <c r="BM12" s="31" t="str">
        <f t="shared" ca="1" si="55"/>
        <v/>
      </c>
      <c r="BN12" s="31" t="str">
        <f t="shared" ca="1" si="55"/>
        <v/>
      </c>
      <c r="BO12" s="31" t="str">
        <f t="shared" ca="1" si="55"/>
        <v/>
      </c>
      <c r="BP12" s="31" t="str">
        <f t="shared" ca="1" si="55"/>
        <v/>
      </c>
      <c r="BQ12" s="31" t="str">
        <f t="shared" ca="1" si="55"/>
        <v/>
      </c>
      <c r="BR12" s="31" t="str">
        <f t="shared" ca="1" si="55"/>
        <v/>
      </c>
      <c r="BS12" s="31" t="str">
        <f t="shared" ca="1" si="56"/>
        <v/>
      </c>
      <c r="BT12" s="31" t="str">
        <f t="shared" ca="1" si="56"/>
        <v/>
      </c>
      <c r="BU12" s="31" t="str">
        <f t="shared" ca="1" si="56"/>
        <v/>
      </c>
      <c r="BV12" s="31" t="str">
        <f t="shared" ca="1" si="56"/>
        <v/>
      </c>
      <c r="BW12" s="31" t="str">
        <f t="shared" ca="1" si="56"/>
        <v/>
      </c>
      <c r="BX12" s="31" t="str">
        <f t="shared" ca="1" si="56"/>
        <v/>
      </c>
      <c r="BY12" s="31" t="str">
        <f t="shared" ca="1" si="56"/>
        <v/>
      </c>
      <c r="BZ12" s="31" t="str">
        <f t="shared" ca="1" si="56"/>
        <v/>
      </c>
      <c r="CA12" s="31" t="str">
        <f t="shared" ca="1" si="56"/>
        <v/>
      </c>
      <c r="CB12" s="31" t="str">
        <f t="shared" ca="1" si="56"/>
        <v/>
      </c>
      <c r="CC12" s="31" t="str">
        <f t="shared" ca="1" si="57"/>
        <v/>
      </c>
      <c r="CD12" s="31" t="str">
        <f t="shared" ca="1" si="57"/>
        <v/>
      </c>
      <c r="CE12" s="31" t="str">
        <f t="shared" ca="1" si="57"/>
        <v/>
      </c>
      <c r="CF12" s="31" t="str">
        <f t="shared" ca="1" si="57"/>
        <v/>
      </c>
      <c r="CG12" s="31" t="str">
        <f t="shared" ca="1" si="57"/>
        <v/>
      </c>
      <c r="CH12" s="31" t="str">
        <f t="shared" ca="1" si="57"/>
        <v/>
      </c>
      <c r="CI12" s="31" t="str">
        <f t="shared" ca="1" si="57"/>
        <v/>
      </c>
      <c r="CJ12" s="31" t="str">
        <f t="shared" ca="1" si="57"/>
        <v/>
      </c>
      <c r="CK12" s="31" t="str">
        <f t="shared" ca="1" si="57"/>
        <v/>
      </c>
      <c r="CL12" s="31" t="str">
        <f t="shared" ca="1" si="57"/>
        <v/>
      </c>
      <c r="CM12" s="31" t="str">
        <f t="shared" ca="1" si="57"/>
        <v/>
      </c>
      <c r="CN12" s="31" t="str">
        <f t="shared" ca="1" si="57"/>
        <v/>
      </c>
      <c r="CO12" s="31" t="str">
        <f t="shared" ca="1" si="57"/>
        <v/>
      </c>
      <c r="CP12" s="31" t="str">
        <f t="shared" ca="1" si="57"/>
        <v/>
      </c>
      <c r="CQ12" s="31" t="str">
        <f t="shared" ca="1" si="57"/>
        <v/>
      </c>
      <c r="CR12" s="31" t="str">
        <f t="shared" ca="1" si="57"/>
        <v/>
      </c>
      <c r="CS12" s="31" t="str">
        <f t="shared" ca="1" si="57"/>
        <v/>
      </c>
      <c r="CT12" s="31" t="str">
        <f t="shared" ca="1" si="57"/>
        <v/>
      </c>
      <c r="CU12" s="31" t="str">
        <f t="shared" ca="1" si="57"/>
        <v/>
      </c>
      <c r="CV12" s="31" t="str">
        <f t="shared" ca="1" si="57"/>
        <v/>
      </c>
      <c r="CW12" s="31" t="str">
        <f t="shared" ca="1" si="57"/>
        <v/>
      </c>
      <c r="CX12" s="31" t="str">
        <f t="shared" ca="1" si="57"/>
        <v/>
      </c>
      <c r="CY12" s="31" t="str">
        <f t="shared" ca="1" si="57"/>
        <v/>
      </c>
      <c r="CZ12" s="31" t="str">
        <f t="shared" ca="1" si="57"/>
        <v/>
      </c>
      <c r="DA12" s="31" t="str">
        <f t="shared" ca="1" si="58"/>
        <v/>
      </c>
      <c r="DB12" s="31" t="str">
        <f t="shared" ca="1" si="58"/>
        <v/>
      </c>
    </row>
    <row r="13" spans="1:106" s="2" customFormat="1" ht="42" x14ac:dyDescent="0.4">
      <c r="A13" s="52"/>
      <c r="B13" s="48" t="s">
        <v>42</v>
      </c>
      <c r="C13" s="47" t="s">
        <v>16</v>
      </c>
      <c r="D13" s="47" t="s">
        <v>37</v>
      </c>
      <c r="E13" s="49">
        <v>1</v>
      </c>
      <c r="F13" s="50">
        <f>F12+G12</f>
        <v>45891</v>
      </c>
      <c r="G13" s="51">
        <v>2</v>
      </c>
      <c r="H13" s="21"/>
      <c r="I13" s="31" t="str">
        <f t="shared" ca="1" si="59"/>
        <v/>
      </c>
      <c r="J13" s="31" t="str">
        <f t="shared" ca="1" si="52"/>
        <v/>
      </c>
      <c r="K13" s="31" t="str">
        <f t="shared" ca="1" si="52"/>
        <v/>
      </c>
      <c r="L13" s="31" t="str">
        <f t="shared" ca="1" si="52"/>
        <v/>
      </c>
      <c r="M13" s="31" t="str">
        <f t="shared" ca="1" si="52"/>
        <v/>
      </c>
      <c r="N13" s="31" t="str">
        <f t="shared" ca="1" si="52"/>
        <v/>
      </c>
      <c r="O13" s="31" t="str">
        <f t="shared" ca="1" si="52"/>
        <v/>
      </c>
      <c r="P13" s="31" t="str">
        <f t="shared" ca="1" si="52"/>
        <v/>
      </c>
      <c r="Q13" s="31" t="str">
        <f t="shared" ca="1" si="52"/>
        <v/>
      </c>
      <c r="R13" s="31" t="str">
        <f t="shared" ca="1" si="52"/>
        <v/>
      </c>
      <c r="S13" s="31" t="str">
        <f t="shared" ca="1" si="52"/>
        <v/>
      </c>
      <c r="T13" s="31" t="str">
        <f t="shared" ca="1" si="52"/>
        <v/>
      </c>
      <c r="U13" s="31" t="str">
        <f t="shared" ca="1" si="52"/>
        <v/>
      </c>
      <c r="V13" s="31" t="str">
        <f t="shared" ca="1" si="52"/>
        <v/>
      </c>
      <c r="W13" s="31" t="str">
        <f t="shared" ca="1" si="52"/>
        <v/>
      </c>
      <c r="X13" s="31">
        <f t="shared" ca="1" si="52"/>
        <v>1</v>
      </c>
      <c r="Y13" s="31">
        <f t="shared" ca="1" si="53"/>
        <v>1</v>
      </c>
      <c r="Z13" s="31" t="str">
        <f t="shared" ca="1" si="53"/>
        <v/>
      </c>
      <c r="AA13" s="31" t="str">
        <f t="shared" ca="1" si="53"/>
        <v/>
      </c>
      <c r="AB13" s="31" t="str">
        <f t="shared" ca="1" si="53"/>
        <v/>
      </c>
      <c r="AC13" s="31" t="str">
        <f t="shared" ca="1" si="53"/>
        <v/>
      </c>
      <c r="AD13" s="31" t="str">
        <f t="shared" ca="1" si="53"/>
        <v/>
      </c>
      <c r="AE13" s="31" t="str">
        <f t="shared" ca="1" si="60"/>
        <v/>
      </c>
      <c r="AF13" s="31" t="str">
        <f t="shared" ca="1" si="53"/>
        <v/>
      </c>
      <c r="AG13" s="31" t="str">
        <f t="shared" ca="1" si="53"/>
        <v/>
      </c>
      <c r="AH13" s="31" t="str">
        <f t="shared" ca="1" si="53"/>
        <v/>
      </c>
      <c r="AI13" s="31" t="str">
        <f t="shared" ca="1" si="53"/>
        <v/>
      </c>
      <c r="AJ13" s="31" t="str">
        <f t="shared" ca="1" si="53"/>
        <v/>
      </c>
      <c r="AK13" s="31" t="str">
        <f t="shared" ca="1" si="53"/>
        <v/>
      </c>
      <c r="AL13" s="31" t="str">
        <f t="shared" ca="1" si="53"/>
        <v/>
      </c>
      <c r="AM13" s="31" t="str">
        <f t="shared" ca="1" si="53"/>
        <v/>
      </c>
      <c r="AN13" s="31" t="str">
        <f t="shared" ca="1" si="53"/>
        <v/>
      </c>
      <c r="AO13" s="31" t="str">
        <f t="shared" ca="1" si="54"/>
        <v/>
      </c>
      <c r="AP13" s="31" t="str">
        <f t="shared" ca="1" si="54"/>
        <v/>
      </c>
      <c r="AQ13" s="31" t="str">
        <f t="shared" ca="1" si="54"/>
        <v/>
      </c>
      <c r="AR13" s="31" t="str">
        <f t="shared" ca="1" si="54"/>
        <v/>
      </c>
      <c r="AS13" s="31" t="str">
        <f t="shared" ca="1" si="54"/>
        <v/>
      </c>
      <c r="AT13" s="31" t="str">
        <f t="shared" ca="1" si="54"/>
        <v/>
      </c>
      <c r="AU13" s="31" t="str">
        <f t="shared" ca="1" si="54"/>
        <v/>
      </c>
      <c r="AV13" s="31" t="str">
        <f t="shared" ca="1" si="54"/>
        <v/>
      </c>
      <c r="AW13" s="31" t="str">
        <f t="shared" ca="1" si="54"/>
        <v/>
      </c>
      <c r="AX13" s="31" t="str">
        <f t="shared" ca="1" si="54"/>
        <v/>
      </c>
      <c r="AY13" s="31" t="str">
        <f t="shared" ca="1" si="54"/>
        <v/>
      </c>
      <c r="AZ13" s="31" t="str">
        <f t="shared" ca="1" si="54"/>
        <v/>
      </c>
      <c r="BA13" s="31" t="str">
        <f t="shared" ca="1" si="54"/>
        <v/>
      </c>
      <c r="BB13" s="31" t="str">
        <f t="shared" ca="1" si="54"/>
        <v/>
      </c>
      <c r="BC13" s="31" t="str">
        <f t="shared" ca="1" si="54"/>
        <v/>
      </c>
      <c r="BD13" s="31" t="str">
        <f t="shared" ca="1" si="54"/>
        <v/>
      </c>
      <c r="BE13" s="31" t="str">
        <f t="shared" ca="1" si="55"/>
        <v/>
      </c>
      <c r="BF13" s="31" t="str">
        <f t="shared" ca="1" si="55"/>
        <v/>
      </c>
      <c r="BG13" s="31" t="str">
        <f t="shared" ca="1" si="55"/>
        <v/>
      </c>
      <c r="BH13" s="31" t="str">
        <f t="shared" ca="1" si="55"/>
        <v/>
      </c>
      <c r="BI13" s="31" t="str">
        <f t="shared" ca="1" si="55"/>
        <v/>
      </c>
      <c r="BJ13" s="31" t="str">
        <f t="shared" ca="1" si="55"/>
        <v/>
      </c>
      <c r="BK13" s="31" t="str">
        <f t="shared" ca="1" si="55"/>
        <v/>
      </c>
      <c r="BL13" s="31" t="str">
        <f t="shared" ca="1" si="55"/>
        <v/>
      </c>
      <c r="BM13" s="31" t="str">
        <f t="shared" ca="1" si="55"/>
        <v/>
      </c>
      <c r="BN13" s="31" t="str">
        <f t="shared" ca="1" si="55"/>
        <v/>
      </c>
      <c r="BO13" s="31" t="str">
        <f t="shared" ca="1" si="55"/>
        <v/>
      </c>
      <c r="BP13" s="31" t="str">
        <f t="shared" ca="1" si="55"/>
        <v/>
      </c>
      <c r="BQ13" s="31" t="str">
        <f t="shared" ca="1" si="55"/>
        <v/>
      </c>
      <c r="BR13" s="31" t="str">
        <f t="shared" ca="1" si="55"/>
        <v/>
      </c>
      <c r="BS13" s="31" t="str">
        <f t="shared" ca="1" si="56"/>
        <v/>
      </c>
      <c r="BT13" s="31" t="str">
        <f t="shared" ca="1" si="56"/>
        <v/>
      </c>
      <c r="BU13" s="31" t="str">
        <f t="shared" ca="1" si="56"/>
        <v/>
      </c>
      <c r="BV13" s="31" t="str">
        <f t="shared" ca="1" si="56"/>
        <v/>
      </c>
      <c r="BW13" s="31" t="str">
        <f t="shared" ca="1" si="56"/>
        <v/>
      </c>
      <c r="BX13" s="31" t="str">
        <f t="shared" ca="1" si="56"/>
        <v/>
      </c>
      <c r="BY13" s="31" t="str">
        <f t="shared" ca="1" si="56"/>
        <v/>
      </c>
      <c r="BZ13" s="31" t="str">
        <f t="shared" ca="1" si="56"/>
        <v/>
      </c>
      <c r="CA13" s="31" t="str">
        <f t="shared" ca="1" si="56"/>
        <v/>
      </c>
      <c r="CB13" s="31" t="str">
        <f t="shared" ca="1" si="56"/>
        <v/>
      </c>
      <c r="CC13" s="31" t="str">
        <f t="shared" ca="1" si="57"/>
        <v/>
      </c>
      <c r="CD13" s="31" t="str">
        <f t="shared" ca="1" si="57"/>
        <v/>
      </c>
      <c r="CE13" s="31" t="str">
        <f t="shared" ca="1" si="57"/>
        <v/>
      </c>
      <c r="CF13" s="31" t="str">
        <f t="shared" ca="1" si="57"/>
        <v/>
      </c>
      <c r="CG13" s="31" t="str">
        <f t="shared" ca="1" si="57"/>
        <v/>
      </c>
      <c r="CH13" s="31" t="str">
        <f t="shared" ca="1" si="57"/>
        <v/>
      </c>
      <c r="CI13" s="31" t="str">
        <f t="shared" ca="1" si="57"/>
        <v/>
      </c>
      <c r="CJ13" s="31" t="str">
        <f t="shared" ca="1" si="57"/>
        <v/>
      </c>
      <c r="CK13" s="31" t="str">
        <f t="shared" ca="1" si="57"/>
        <v/>
      </c>
      <c r="CL13" s="31" t="str">
        <f t="shared" ca="1" si="57"/>
        <v/>
      </c>
      <c r="CM13" s="31" t="str">
        <f t="shared" ca="1" si="57"/>
        <v/>
      </c>
      <c r="CN13" s="31" t="str">
        <f t="shared" ca="1" si="57"/>
        <v/>
      </c>
      <c r="CO13" s="31" t="str">
        <f t="shared" ca="1" si="57"/>
        <v/>
      </c>
      <c r="CP13" s="31" t="str">
        <f t="shared" ca="1" si="57"/>
        <v/>
      </c>
      <c r="CQ13" s="31" t="str">
        <f t="shared" ca="1" si="57"/>
        <v/>
      </c>
      <c r="CR13" s="31" t="str">
        <f t="shared" ca="1" si="57"/>
        <v/>
      </c>
      <c r="CS13" s="31" t="str">
        <f t="shared" ca="1" si="57"/>
        <v/>
      </c>
      <c r="CT13" s="31" t="str">
        <f t="shared" ca="1" si="57"/>
        <v/>
      </c>
      <c r="CU13" s="31" t="str">
        <f t="shared" ca="1" si="57"/>
        <v/>
      </c>
      <c r="CV13" s="31" t="str">
        <f t="shared" ca="1" si="57"/>
        <v/>
      </c>
      <c r="CW13" s="31" t="str">
        <f t="shared" ca="1" si="57"/>
        <v/>
      </c>
      <c r="CX13" s="31" t="str">
        <f t="shared" ca="1" si="57"/>
        <v/>
      </c>
      <c r="CY13" s="31" t="str">
        <f t="shared" ca="1" si="57"/>
        <v/>
      </c>
      <c r="CZ13" s="31" t="str">
        <f t="shared" ca="1" si="57"/>
        <v/>
      </c>
      <c r="DA13" s="31" t="str">
        <f t="shared" ca="1" si="58"/>
        <v/>
      </c>
      <c r="DB13" s="31" t="str">
        <f t="shared" ca="1" si="58"/>
        <v/>
      </c>
    </row>
    <row r="14" spans="1:106" s="2" customFormat="1" ht="42" x14ac:dyDescent="0.4">
      <c r="A14" s="52"/>
      <c r="B14" s="48" t="s">
        <v>43</v>
      </c>
      <c r="C14" s="47" t="s">
        <v>17</v>
      </c>
      <c r="D14" s="47" t="s">
        <v>37</v>
      </c>
      <c r="E14" s="49">
        <v>1</v>
      </c>
      <c r="F14" s="50">
        <f>F13+G13</f>
        <v>45893</v>
      </c>
      <c r="G14" s="51">
        <v>4</v>
      </c>
      <c r="H14" s="21"/>
      <c r="I14" s="31" t="str">
        <f t="shared" ca="1" si="59"/>
        <v/>
      </c>
      <c r="J14" s="31" t="str">
        <f t="shared" ca="1" si="52"/>
        <v/>
      </c>
      <c r="K14" s="31" t="str">
        <f t="shared" ca="1" si="52"/>
        <v/>
      </c>
      <c r="L14" s="31" t="str">
        <f t="shared" ca="1" si="52"/>
        <v/>
      </c>
      <c r="M14" s="31" t="str">
        <f t="shared" ca="1" si="52"/>
        <v/>
      </c>
      <c r="N14" s="31" t="str">
        <f t="shared" ca="1" si="52"/>
        <v/>
      </c>
      <c r="O14" s="31" t="str">
        <f t="shared" ca="1" si="52"/>
        <v/>
      </c>
      <c r="P14" s="31" t="str">
        <f t="shared" ca="1" si="52"/>
        <v/>
      </c>
      <c r="Q14" s="31" t="str">
        <f t="shared" ca="1" si="52"/>
        <v/>
      </c>
      <c r="R14" s="31" t="str">
        <f t="shared" ca="1" si="52"/>
        <v/>
      </c>
      <c r="S14" s="31" t="str">
        <f t="shared" ca="1" si="52"/>
        <v/>
      </c>
      <c r="T14" s="31" t="str">
        <f t="shared" ca="1" si="52"/>
        <v/>
      </c>
      <c r="U14" s="31" t="str">
        <f t="shared" ca="1" si="52"/>
        <v/>
      </c>
      <c r="V14" s="31" t="str">
        <f t="shared" ca="1" si="52"/>
        <v/>
      </c>
      <c r="W14" s="31" t="str">
        <f t="shared" ca="1" si="52"/>
        <v/>
      </c>
      <c r="X14" s="31" t="str">
        <f t="shared" ca="1" si="52"/>
        <v/>
      </c>
      <c r="Y14" s="31" t="str">
        <f t="shared" ca="1" si="53"/>
        <v/>
      </c>
      <c r="Z14" s="31" t="str">
        <f t="shared" ca="1" si="53"/>
        <v/>
      </c>
      <c r="AA14" s="31" t="str">
        <f t="shared" ca="1" si="53"/>
        <v/>
      </c>
      <c r="AB14" s="31" t="str">
        <f t="shared" ca="1" si="53"/>
        <v/>
      </c>
      <c r="AC14" s="31" t="str">
        <f t="shared" ca="1" si="53"/>
        <v/>
      </c>
      <c r="AD14" s="31" t="str">
        <f t="shared" ca="1" si="53"/>
        <v/>
      </c>
      <c r="AE14" s="31" t="str">
        <f t="shared" ca="1" si="60"/>
        <v/>
      </c>
      <c r="AF14" s="31" t="str">
        <f t="shared" ca="1" si="53"/>
        <v/>
      </c>
      <c r="AG14" s="31" t="str">
        <f t="shared" ca="1" si="53"/>
        <v/>
      </c>
      <c r="AH14" s="31" t="str">
        <f t="shared" ca="1" si="53"/>
        <v/>
      </c>
      <c r="AI14" s="31" t="str">
        <f t="shared" ca="1" si="53"/>
        <v/>
      </c>
      <c r="AJ14" s="31" t="str">
        <f t="shared" ca="1" si="53"/>
        <v/>
      </c>
      <c r="AK14" s="31" t="str">
        <f t="shared" ca="1" si="53"/>
        <v/>
      </c>
      <c r="AL14" s="31" t="str">
        <f t="shared" ca="1" si="53"/>
        <v/>
      </c>
      <c r="AM14" s="31" t="str">
        <f t="shared" ca="1" si="53"/>
        <v/>
      </c>
      <c r="AN14" s="31" t="str">
        <f t="shared" ca="1" si="53"/>
        <v/>
      </c>
      <c r="AO14" s="31" t="str">
        <f t="shared" ca="1" si="54"/>
        <v/>
      </c>
      <c r="AP14" s="31" t="str">
        <f t="shared" ca="1" si="54"/>
        <v/>
      </c>
      <c r="AQ14" s="31" t="str">
        <f t="shared" ca="1" si="54"/>
        <v/>
      </c>
      <c r="AR14" s="31" t="str">
        <f t="shared" ca="1" si="54"/>
        <v/>
      </c>
      <c r="AS14" s="31" t="str">
        <f t="shared" ca="1" si="54"/>
        <v/>
      </c>
      <c r="AT14" s="31" t="str">
        <f t="shared" ca="1" si="54"/>
        <v/>
      </c>
      <c r="AU14" s="31" t="str">
        <f t="shared" ca="1" si="54"/>
        <v/>
      </c>
      <c r="AV14" s="31" t="str">
        <f t="shared" ca="1" si="54"/>
        <v/>
      </c>
      <c r="AW14" s="31" t="str">
        <f t="shared" ca="1" si="54"/>
        <v/>
      </c>
      <c r="AX14" s="31" t="str">
        <f t="shared" ca="1" si="54"/>
        <v/>
      </c>
      <c r="AY14" s="31" t="str">
        <f t="shared" ca="1" si="54"/>
        <v/>
      </c>
      <c r="AZ14" s="31" t="str">
        <f t="shared" ca="1" si="54"/>
        <v/>
      </c>
      <c r="BA14" s="31" t="str">
        <f t="shared" ca="1" si="54"/>
        <v/>
      </c>
      <c r="BB14" s="31" t="str">
        <f t="shared" ca="1" si="54"/>
        <v/>
      </c>
      <c r="BC14" s="31" t="str">
        <f t="shared" ca="1" si="54"/>
        <v/>
      </c>
      <c r="BD14" s="31" t="str">
        <f t="shared" ca="1" si="54"/>
        <v/>
      </c>
      <c r="BE14" s="31" t="str">
        <f t="shared" ca="1" si="55"/>
        <v/>
      </c>
      <c r="BF14" s="31" t="str">
        <f t="shared" ca="1" si="55"/>
        <v/>
      </c>
      <c r="BG14" s="31" t="str">
        <f t="shared" ca="1" si="55"/>
        <v/>
      </c>
      <c r="BH14" s="31" t="str">
        <f t="shared" ca="1" si="55"/>
        <v/>
      </c>
      <c r="BI14" s="31" t="str">
        <f t="shared" ca="1" si="55"/>
        <v/>
      </c>
      <c r="BJ14" s="31" t="str">
        <f t="shared" ca="1" si="55"/>
        <v/>
      </c>
      <c r="BK14" s="31" t="str">
        <f t="shared" ca="1" si="55"/>
        <v/>
      </c>
      <c r="BL14" s="31" t="str">
        <f t="shared" ca="1" si="55"/>
        <v/>
      </c>
      <c r="BM14" s="31" t="str">
        <f t="shared" ca="1" si="55"/>
        <v/>
      </c>
      <c r="BN14" s="31" t="str">
        <f t="shared" ca="1" si="55"/>
        <v/>
      </c>
      <c r="BO14" s="31" t="str">
        <f t="shared" ca="1" si="55"/>
        <v/>
      </c>
      <c r="BP14" s="31" t="str">
        <f t="shared" ca="1" si="55"/>
        <v/>
      </c>
      <c r="BQ14" s="31" t="str">
        <f t="shared" ca="1" si="55"/>
        <v/>
      </c>
      <c r="BR14" s="31" t="str">
        <f t="shared" ca="1" si="55"/>
        <v/>
      </c>
      <c r="BS14" s="31" t="str">
        <f t="shared" ca="1" si="56"/>
        <v/>
      </c>
      <c r="BT14" s="31" t="str">
        <f t="shared" ca="1" si="56"/>
        <v/>
      </c>
      <c r="BU14" s="31" t="str">
        <f t="shared" ca="1" si="56"/>
        <v/>
      </c>
      <c r="BV14" s="31" t="str">
        <f t="shared" ca="1" si="56"/>
        <v/>
      </c>
      <c r="BW14" s="31" t="str">
        <f t="shared" ca="1" si="56"/>
        <v/>
      </c>
      <c r="BX14" s="31" t="str">
        <f t="shared" ca="1" si="56"/>
        <v/>
      </c>
      <c r="BY14" s="31" t="str">
        <f t="shared" ca="1" si="56"/>
        <v/>
      </c>
      <c r="BZ14" s="31" t="str">
        <f t="shared" ca="1" si="56"/>
        <v/>
      </c>
      <c r="CA14" s="31" t="str">
        <f t="shared" ca="1" si="56"/>
        <v/>
      </c>
      <c r="CB14" s="31" t="str">
        <f t="shared" ca="1" si="56"/>
        <v/>
      </c>
      <c r="CC14" s="31" t="str">
        <f t="shared" ca="1" si="57"/>
        <v/>
      </c>
      <c r="CD14" s="31" t="str">
        <f t="shared" ca="1" si="57"/>
        <v/>
      </c>
      <c r="CE14" s="31" t="str">
        <f t="shared" ca="1" si="57"/>
        <v/>
      </c>
      <c r="CF14" s="31" t="str">
        <f t="shared" ca="1" si="57"/>
        <v/>
      </c>
      <c r="CG14" s="31" t="str">
        <f t="shared" ca="1" si="57"/>
        <v/>
      </c>
      <c r="CH14" s="31" t="str">
        <f t="shared" ca="1" si="57"/>
        <v/>
      </c>
      <c r="CI14" s="31" t="str">
        <f t="shared" ca="1" si="57"/>
        <v/>
      </c>
      <c r="CJ14" s="31" t="str">
        <f t="shared" ca="1" si="57"/>
        <v/>
      </c>
      <c r="CK14" s="31" t="str">
        <f t="shared" ca="1" si="57"/>
        <v/>
      </c>
      <c r="CL14" s="31" t="str">
        <f t="shared" ca="1" si="57"/>
        <v/>
      </c>
      <c r="CM14" s="31" t="str">
        <f t="shared" ca="1" si="57"/>
        <v/>
      </c>
      <c r="CN14" s="31" t="str">
        <f t="shared" ca="1" si="57"/>
        <v/>
      </c>
      <c r="CO14" s="31" t="str">
        <f t="shared" ca="1" si="57"/>
        <v/>
      </c>
      <c r="CP14" s="31" t="str">
        <f t="shared" ca="1" si="57"/>
        <v/>
      </c>
      <c r="CQ14" s="31" t="str">
        <f t="shared" ca="1" si="57"/>
        <v/>
      </c>
      <c r="CR14" s="31" t="str">
        <f t="shared" ca="1" si="57"/>
        <v/>
      </c>
      <c r="CS14" s="31" t="str">
        <f t="shared" ca="1" si="57"/>
        <v/>
      </c>
      <c r="CT14" s="31" t="str">
        <f t="shared" ca="1" si="57"/>
        <v/>
      </c>
      <c r="CU14" s="31" t="str">
        <f t="shared" ca="1" si="57"/>
        <v/>
      </c>
      <c r="CV14" s="31" t="str">
        <f t="shared" ca="1" si="57"/>
        <v/>
      </c>
      <c r="CW14" s="31" t="str">
        <f t="shared" ca="1" si="57"/>
        <v/>
      </c>
      <c r="CX14" s="31" t="str">
        <f t="shared" ca="1" si="57"/>
        <v/>
      </c>
      <c r="CY14" s="31" t="str">
        <f t="shared" ca="1" si="57"/>
        <v/>
      </c>
      <c r="CZ14" s="31" t="str">
        <f t="shared" ca="1" si="57"/>
        <v/>
      </c>
      <c r="DA14" s="31" t="str">
        <f t="shared" ca="1" si="58"/>
        <v/>
      </c>
      <c r="DB14" s="31" t="str">
        <f t="shared" ca="1" si="58"/>
        <v/>
      </c>
    </row>
    <row r="15" spans="1:106" s="2" customFormat="1" ht="21" x14ac:dyDescent="0.4">
      <c r="A15" s="45"/>
      <c r="B15" s="46" t="s">
        <v>44</v>
      </c>
      <c r="C15" s="47"/>
      <c r="D15" s="47"/>
      <c r="E15" s="34"/>
      <c r="F15" s="34"/>
      <c r="G15" s="34"/>
      <c r="H15" s="21"/>
      <c r="I15" s="31" t="str">
        <f t="shared" ca="1" si="59"/>
        <v/>
      </c>
      <c r="J15" s="31" t="str">
        <f t="shared" ca="1" si="52"/>
        <v/>
      </c>
      <c r="K15" s="31" t="str">
        <f t="shared" ca="1" si="52"/>
        <v/>
      </c>
      <c r="L15" s="31" t="str">
        <f t="shared" ca="1" si="52"/>
        <v/>
      </c>
      <c r="M15" s="31" t="str">
        <f t="shared" ca="1" si="52"/>
        <v/>
      </c>
      <c r="N15" s="31" t="str">
        <f t="shared" ca="1" si="52"/>
        <v/>
      </c>
      <c r="O15" s="31" t="str">
        <f t="shared" ca="1" si="52"/>
        <v/>
      </c>
      <c r="P15" s="31" t="str">
        <f t="shared" ca="1" si="52"/>
        <v/>
      </c>
      <c r="Q15" s="31" t="str">
        <f t="shared" ca="1" si="52"/>
        <v/>
      </c>
      <c r="R15" s="31" t="str">
        <f t="shared" ca="1" si="52"/>
        <v/>
      </c>
      <c r="S15" s="31" t="str">
        <f t="shared" ca="1" si="52"/>
        <v/>
      </c>
      <c r="T15" s="31" t="str">
        <f t="shared" ca="1" si="52"/>
        <v/>
      </c>
      <c r="U15" s="31" t="str">
        <f t="shared" ca="1" si="52"/>
        <v/>
      </c>
      <c r="V15" s="31" t="str">
        <f t="shared" ca="1" si="52"/>
        <v/>
      </c>
      <c r="W15" s="31" t="str">
        <f t="shared" ca="1" si="52"/>
        <v/>
      </c>
      <c r="X15" s="31" t="str">
        <f t="shared" ca="1" si="52"/>
        <v/>
      </c>
      <c r="Y15" s="31" t="str">
        <f t="shared" ca="1" si="53"/>
        <v/>
      </c>
      <c r="Z15" s="31" t="str">
        <f t="shared" ca="1" si="53"/>
        <v/>
      </c>
      <c r="AA15" s="31" t="str">
        <f t="shared" ca="1" si="53"/>
        <v/>
      </c>
      <c r="AB15" s="31" t="str">
        <f t="shared" ca="1" si="53"/>
        <v/>
      </c>
      <c r="AC15" s="31" t="str">
        <f t="shared" ca="1" si="53"/>
        <v/>
      </c>
      <c r="AD15" s="31" t="str">
        <f t="shared" ca="1" si="53"/>
        <v/>
      </c>
      <c r="AE15" s="31" t="str">
        <f t="shared" ca="1" si="60"/>
        <v/>
      </c>
      <c r="AF15" s="31" t="str">
        <f t="shared" ca="1" si="53"/>
        <v/>
      </c>
      <c r="AG15" s="31" t="str">
        <f t="shared" ca="1" si="53"/>
        <v/>
      </c>
      <c r="AH15" s="31" t="str">
        <f t="shared" ca="1" si="53"/>
        <v/>
      </c>
      <c r="AI15" s="31" t="str">
        <f t="shared" ca="1" si="53"/>
        <v/>
      </c>
      <c r="AJ15" s="31" t="str">
        <f t="shared" ca="1" si="53"/>
        <v/>
      </c>
      <c r="AK15" s="31" t="str">
        <f t="shared" ca="1" si="53"/>
        <v/>
      </c>
      <c r="AL15" s="31" t="str">
        <f t="shared" ca="1" si="53"/>
        <v/>
      </c>
      <c r="AM15" s="31" t="str">
        <f t="shared" ca="1" si="53"/>
        <v/>
      </c>
      <c r="AN15" s="31" t="str">
        <f t="shared" ca="1" si="53"/>
        <v/>
      </c>
      <c r="AO15" s="31" t="str">
        <f t="shared" ca="1" si="54"/>
        <v/>
      </c>
      <c r="AP15" s="31" t="str">
        <f t="shared" ca="1" si="54"/>
        <v/>
      </c>
      <c r="AQ15" s="31" t="str">
        <f t="shared" ca="1" si="54"/>
        <v/>
      </c>
      <c r="AR15" s="31" t="str">
        <f t="shared" ca="1" si="54"/>
        <v/>
      </c>
      <c r="AS15" s="31" t="str">
        <f t="shared" ca="1" si="54"/>
        <v/>
      </c>
      <c r="AT15" s="31" t="str">
        <f t="shared" ca="1" si="54"/>
        <v/>
      </c>
      <c r="AU15" s="31" t="str">
        <f t="shared" ca="1" si="54"/>
        <v/>
      </c>
      <c r="AV15" s="31" t="str">
        <f t="shared" ca="1" si="54"/>
        <v/>
      </c>
      <c r="AW15" s="31" t="str">
        <f t="shared" ca="1" si="54"/>
        <v/>
      </c>
      <c r="AX15" s="31" t="str">
        <f t="shared" ca="1" si="54"/>
        <v/>
      </c>
      <c r="AY15" s="31" t="str">
        <f t="shared" ca="1" si="54"/>
        <v/>
      </c>
      <c r="AZ15" s="31" t="str">
        <f t="shared" ca="1" si="54"/>
        <v/>
      </c>
      <c r="BA15" s="31" t="str">
        <f t="shared" ca="1" si="54"/>
        <v/>
      </c>
      <c r="BB15" s="31" t="str">
        <f t="shared" ca="1" si="54"/>
        <v/>
      </c>
      <c r="BC15" s="31" t="str">
        <f t="shared" ca="1" si="54"/>
        <v/>
      </c>
      <c r="BD15" s="31" t="str">
        <f t="shared" ca="1" si="54"/>
        <v/>
      </c>
      <c r="BE15" s="31" t="str">
        <f t="shared" ca="1" si="55"/>
        <v/>
      </c>
      <c r="BF15" s="31" t="str">
        <f t="shared" ca="1" si="55"/>
        <v/>
      </c>
      <c r="BG15" s="31" t="str">
        <f t="shared" ca="1" si="55"/>
        <v/>
      </c>
      <c r="BH15" s="31" t="str">
        <f t="shared" ca="1" si="55"/>
        <v/>
      </c>
      <c r="BI15" s="31" t="str">
        <f t="shared" ca="1" si="55"/>
        <v/>
      </c>
      <c r="BJ15" s="31" t="str">
        <f t="shared" ca="1" si="55"/>
        <v/>
      </c>
      <c r="BK15" s="31" t="str">
        <f t="shared" ca="1" si="55"/>
        <v/>
      </c>
      <c r="BL15" s="31" t="str">
        <f t="shared" ca="1" si="55"/>
        <v/>
      </c>
      <c r="BM15" s="31" t="str">
        <f t="shared" ca="1" si="55"/>
        <v/>
      </c>
      <c r="BN15" s="31" t="str">
        <f t="shared" ca="1" si="55"/>
        <v/>
      </c>
      <c r="BO15" s="31" t="str">
        <f t="shared" ca="1" si="55"/>
        <v/>
      </c>
      <c r="BP15" s="31" t="str">
        <f t="shared" ca="1" si="55"/>
        <v/>
      </c>
      <c r="BQ15" s="31" t="str">
        <f t="shared" ca="1" si="55"/>
        <v/>
      </c>
      <c r="BR15" s="31" t="str">
        <f t="shared" ca="1" si="55"/>
        <v/>
      </c>
      <c r="BS15" s="31" t="str">
        <f t="shared" ca="1" si="56"/>
        <v/>
      </c>
      <c r="BT15" s="31" t="str">
        <f t="shared" ca="1" si="56"/>
        <v/>
      </c>
      <c r="BU15" s="31" t="str">
        <f t="shared" ca="1" si="56"/>
        <v/>
      </c>
      <c r="BV15" s="31" t="str">
        <f t="shared" ca="1" si="56"/>
        <v/>
      </c>
      <c r="BW15" s="31" t="str">
        <f t="shared" ca="1" si="56"/>
        <v/>
      </c>
      <c r="BX15" s="31" t="str">
        <f t="shared" ca="1" si="56"/>
        <v/>
      </c>
      <c r="BY15" s="31" t="str">
        <f t="shared" ca="1" si="56"/>
        <v/>
      </c>
      <c r="BZ15" s="31" t="str">
        <f t="shared" ca="1" si="56"/>
        <v/>
      </c>
      <c r="CA15" s="31" t="str">
        <f t="shared" ca="1" si="56"/>
        <v/>
      </c>
      <c r="CB15" s="31" t="str">
        <f t="shared" ca="1" si="56"/>
        <v/>
      </c>
      <c r="CC15" s="31" t="str">
        <f t="shared" ca="1" si="57"/>
        <v/>
      </c>
      <c r="CD15" s="31" t="str">
        <f t="shared" ca="1" si="57"/>
        <v/>
      </c>
      <c r="CE15" s="31" t="str">
        <f t="shared" ca="1" si="57"/>
        <v/>
      </c>
      <c r="CF15" s="31" t="str">
        <f t="shared" ca="1" si="57"/>
        <v/>
      </c>
      <c r="CG15" s="31" t="str">
        <f t="shared" ca="1" si="57"/>
        <v/>
      </c>
      <c r="CH15" s="31" t="str">
        <f t="shared" ca="1" si="57"/>
        <v/>
      </c>
      <c r="CI15" s="31" t="str">
        <f t="shared" ca="1" si="57"/>
        <v/>
      </c>
      <c r="CJ15" s="31" t="str">
        <f t="shared" ca="1" si="57"/>
        <v/>
      </c>
      <c r="CK15" s="31" t="str">
        <f t="shared" ca="1" si="57"/>
        <v/>
      </c>
      <c r="CL15" s="31" t="str">
        <f t="shared" ca="1" si="57"/>
        <v/>
      </c>
      <c r="CM15" s="31" t="str">
        <f t="shared" ca="1" si="57"/>
        <v/>
      </c>
      <c r="CN15" s="31" t="str">
        <f t="shared" ca="1" si="57"/>
        <v/>
      </c>
      <c r="CO15" s="31" t="str">
        <f t="shared" ca="1" si="57"/>
        <v/>
      </c>
      <c r="CP15" s="31" t="str">
        <f t="shared" ca="1" si="57"/>
        <v/>
      </c>
      <c r="CQ15" s="31" t="str">
        <f t="shared" ca="1" si="57"/>
        <v/>
      </c>
      <c r="CR15" s="31" t="str">
        <f t="shared" ca="1" si="57"/>
        <v/>
      </c>
      <c r="CS15" s="31" t="str">
        <f t="shared" ca="1" si="57"/>
        <v/>
      </c>
      <c r="CT15" s="31" t="str">
        <f t="shared" ca="1" si="57"/>
        <v/>
      </c>
      <c r="CU15" s="31" t="str">
        <f ca="1">IF(AND($C15="Objetivo",CU$5&gt;=$F15,CU$5&lt;=$F15+$G15-1),2,IF(AND($C15="Hito",CU$5&gt;=$F15,CU$5&lt;=$F15+$G15-1),1,""))</f>
        <v/>
      </c>
      <c r="CV15" s="31" t="str">
        <f t="shared" ca="1" si="57"/>
        <v/>
      </c>
      <c r="CW15" s="31" t="str">
        <f t="shared" ca="1" si="57"/>
        <v/>
      </c>
      <c r="CX15" s="31" t="str">
        <f t="shared" ca="1" si="57"/>
        <v/>
      </c>
      <c r="CY15" s="31" t="str">
        <f t="shared" ca="1" si="57"/>
        <v/>
      </c>
      <c r="CZ15" s="31" t="str">
        <f t="shared" ca="1" si="57"/>
        <v/>
      </c>
      <c r="DA15" s="31" t="str">
        <f t="shared" ca="1" si="58"/>
        <v/>
      </c>
      <c r="DB15" s="31" t="str">
        <f t="shared" ca="1" si="58"/>
        <v/>
      </c>
    </row>
    <row r="16" spans="1:106" s="2" customFormat="1" ht="42" x14ac:dyDescent="0.4">
      <c r="A16" s="45"/>
      <c r="B16" s="48" t="s">
        <v>46</v>
      </c>
      <c r="C16" s="47" t="s">
        <v>19</v>
      </c>
      <c r="D16" s="47" t="s">
        <v>47</v>
      </c>
      <c r="E16" s="49">
        <v>1</v>
      </c>
      <c r="F16" s="50">
        <f>F14+1</f>
        <v>45894</v>
      </c>
      <c r="G16" s="51">
        <v>10</v>
      </c>
      <c r="H16" s="21"/>
      <c r="I16" s="31" t="str">
        <f t="shared" ca="1" si="59"/>
        <v/>
      </c>
      <c r="J16" s="31" t="str">
        <f t="shared" ca="1" si="52"/>
        <v/>
      </c>
      <c r="K16" s="31" t="str">
        <f t="shared" ca="1" si="52"/>
        <v/>
      </c>
      <c r="L16" s="31" t="str">
        <f t="shared" ca="1" si="52"/>
        <v/>
      </c>
      <c r="M16" s="31" t="str">
        <f t="shared" ca="1" si="52"/>
        <v/>
      </c>
      <c r="N16" s="31" t="str">
        <f t="shared" ca="1" si="52"/>
        <v/>
      </c>
      <c r="O16" s="31" t="str">
        <f t="shared" ca="1" si="52"/>
        <v/>
      </c>
      <c r="P16" s="31" t="str">
        <f t="shared" ca="1" si="52"/>
        <v/>
      </c>
      <c r="Q16" s="31" t="str">
        <f t="shared" ca="1" si="52"/>
        <v/>
      </c>
      <c r="R16" s="31" t="str">
        <f t="shared" ca="1" si="52"/>
        <v/>
      </c>
      <c r="S16" s="31" t="str">
        <f t="shared" ca="1" si="52"/>
        <v/>
      </c>
      <c r="T16" s="31" t="str">
        <f t="shared" ca="1" si="52"/>
        <v/>
      </c>
      <c r="U16" s="31" t="str">
        <f t="shared" ca="1" si="52"/>
        <v/>
      </c>
      <c r="V16" s="31" t="str">
        <f t="shared" ca="1" si="52"/>
        <v/>
      </c>
      <c r="W16" s="31" t="str">
        <f t="shared" ca="1" si="52"/>
        <v/>
      </c>
      <c r="X16" s="31" t="str">
        <f t="shared" ca="1" si="52"/>
        <v/>
      </c>
      <c r="Y16" s="31" t="str">
        <f t="shared" ca="1" si="53"/>
        <v/>
      </c>
      <c r="Z16" s="31" t="str">
        <f t="shared" ca="1" si="53"/>
        <v/>
      </c>
      <c r="AA16" s="31" t="str">
        <f t="shared" ca="1" si="53"/>
        <v/>
      </c>
      <c r="AB16" s="31" t="str">
        <f t="shared" ca="1" si="53"/>
        <v/>
      </c>
      <c r="AC16" s="31" t="str">
        <f t="shared" ca="1" si="53"/>
        <v/>
      </c>
      <c r="AD16" s="31" t="str">
        <f t="shared" ca="1" si="53"/>
        <v/>
      </c>
      <c r="AE16" s="31" t="str">
        <f t="shared" ca="1" si="60"/>
        <v/>
      </c>
      <c r="AF16" s="31" t="str">
        <f t="shared" ca="1" si="53"/>
        <v/>
      </c>
      <c r="AG16" s="31" t="str">
        <f t="shared" ca="1" si="53"/>
        <v/>
      </c>
      <c r="AH16" s="31" t="str">
        <f t="shared" ca="1" si="53"/>
        <v/>
      </c>
      <c r="AI16" s="31" t="str">
        <f t="shared" ca="1" si="53"/>
        <v/>
      </c>
      <c r="AJ16" s="31" t="str">
        <f t="shared" ca="1" si="53"/>
        <v/>
      </c>
      <c r="AK16" s="31" t="str">
        <f t="shared" ca="1" si="53"/>
        <v/>
      </c>
      <c r="AL16" s="31" t="str">
        <f t="shared" ca="1" si="53"/>
        <v/>
      </c>
      <c r="AM16" s="31" t="str">
        <f t="shared" ca="1" si="53"/>
        <v/>
      </c>
      <c r="AN16" s="31" t="str">
        <f t="shared" ca="1" si="53"/>
        <v/>
      </c>
      <c r="AO16" s="31" t="str">
        <f t="shared" ca="1" si="54"/>
        <v/>
      </c>
      <c r="AP16" s="31" t="str">
        <f t="shared" ca="1" si="54"/>
        <v/>
      </c>
      <c r="AQ16" s="31" t="str">
        <f t="shared" ca="1" si="54"/>
        <v/>
      </c>
      <c r="AR16" s="31" t="str">
        <f t="shared" ca="1" si="54"/>
        <v/>
      </c>
      <c r="AS16" s="31" t="str">
        <f t="shared" ca="1" si="54"/>
        <v/>
      </c>
      <c r="AT16" s="31" t="str">
        <f t="shared" ca="1" si="54"/>
        <v/>
      </c>
      <c r="AU16" s="31" t="str">
        <f t="shared" ca="1" si="54"/>
        <v/>
      </c>
      <c r="AV16" s="31" t="str">
        <f t="shared" ca="1" si="54"/>
        <v/>
      </c>
      <c r="AW16" s="31" t="str">
        <f t="shared" ca="1" si="54"/>
        <v/>
      </c>
      <c r="AX16" s="31" t="str">
        <f t="shared" ca="1" si="54"/>
        <v/>
      </c>
      <c r="AY16" s="31" t="str">
        <f t="shared" ca="1" si="54"/>
        <v/>
      </c>
      <c r="AZ16" s="31" t="str">
        <f t="shared" ca="1" si="54"/>
        <v/>
      </c>
      <c r="BA16" s="31" t="str">
        <f t="shared" ca="1" si="54"/>
        <v/>
      </c>
      <c r="BB16" s="31" t="str">
        <f t="shared" ca="1" si="54"/>
        <v/>
      </c>
      <c r="BC16" s="31" t="str">
        <f t="shared" ca="1" si="54"/>
        <v/>
      </c>
      <c r="BD16" s="31" t="str">
        <f t="shared" ca="1" si="54"/>
        <v/>
      </c>
      <c r="BE16" s="31" t="str">
        <f t="shared" ca="1" si="55"/>
        <v/>
      </c>
      <c r="BF16" s="31" t="str">
        <f t="shared" ca="1" si="55"/>
        <v/>
      </c>
      <c r="BG16" s="31" t="str">
        <f t="shared" ca="1" si="55"/>
        <v/>
      </c>
      <c r="BH16" s="31" t="str">
        <f t="shared" ca="1" si="55"/>
        <v/>
      </c>
      <c r="BI16" s="31" t="str">
        <f t="shared" ca="1" si="55"/>
        <v/>
      </c>
      <c r="BJ16" s="31" t="str">
        <f t="shared" ca="1" si="55"/>
        <v/>
      </c>
      <c r="BK16" s="31" t="str">
        <f t="shared" ca="1" si="55"/>
        <v/>
      </c>
      <c r="BL16" s="31" t="str">
        <f t="shared" ca="1" si="55"/>
        <v/>
      </c>
      <c r="BM16" s="31" t="str">
        <f t="shared" ca="1" si="55"/>
        <v/>
      </c>
      <c r="BN16" s="31" t="str">
        <f t="shared" ca="1" si="55"/>
        <v/>
      </c>
      <c r="BO16" s="31" t="str">
        <f t="shared" ca="1" si="55"/>
        <v/>
      </c>
      <c r="BP16" s="31" t="str">
        <f t="shared" ca="1" si="55"/>
        <v/>
      </c>
      <c r="BQ16" s="31" t="str">
        <f t="shared" ca="1" si="55"/>
        <v/>
      </c>
      <c r="BR16" s="31" t="str">
        <f t="shared" ca="1" si="55"/>
        <v/>
      </c>
      <c r="BS16" s="31" t="str">
        <f t="shared" ca="1" si="56"/>
        <v/>
      </c>
      <c r="BT16" s="31" t="str">
        <f t="shared" ca="1" si="56"/>
        <v/>
      </c>
      <c r="BU16" s="31" t="str">
        <f t="shared" ca="1" si="56"/>
        <v/>
      </c>
      <c r="BV16" s="31" t="str">
        <f t="shared" ca="1" si="56"/>
        <v/>
      </c>
      <c r="BW16" s="31" t="str">
        <f t="shared" ca="1" si="56"/>
        <v/>
      </c>
      <c r="BX16" s="31" t="str">
        <f t="shared" ca="1" si="56"/>
        <v/>
      </c>
      <c r="BY16" s="31" t="str">
        <f t="shared" ca="1" si="56"/>
        <v/>
      </c>
      <c r="BZ16" s="31" t="str">
        <f t="shared" ca="1" si="56"/>
        <v/>
      </c>
      <c r="CA16" s="31" t="str">
        <f t="shared" ca="1" si="56"/>
        <v/>
      </c>
      <c r="CB16" s="31" t="str">
        <f t="shared" ca="1" si="56"/>
        <v/>
      </c>
      <c r="CC16" s="31" t="str">
        <f t="shared" ca="1" si="57"/>
        <v/>
      </c>
      <c r="CD16" s="31" t="str">
        <f t="shared" ca="1" si="57"/>
        <v/>
      </c>
      <c r="CE16" s="31" t="str">
        <f t="shared" ca="1" si="57"/>
        <v/>
      </c>
      <c r="CF16" s="31" t="str">
        <f t="shared" ca="1" si="57"/>
        <v/>
      </c>
      <c r="CG16" s="31" t="str">
        <f t="shared" ca="1" si="57"/>
        <v/>
      </c>
      <c r="CH16" s="31" t="str">
        <f t="shared" ca="1" si="57"/>
        <v/>
      </c>
      <c r="CI16" s="31" t="str">
        <f t="shared" ca="1" si="57"/>
        <v/>
      </c>
      <c r="CJ16" s="31" t="str">
        <f t="shared" ca="1" si="57"/>
        <v/>
      </c>
      <c r="CK16" s="31" t="str">
        <f t="shared" ca="1" si="57"/>
        <v/>
      </c>
      <c r="CL16" s="31" t="str">
        <f t="shared" ca="1" si="57"/>
        <v/>
      </c>
      <c r="CM16" s="31" t="str">
        <f t="shared" ca="1" si="57"/>
        <v/>
      </c>
      <c r="CN16" s="31" t="str">
        <f t="shared" ca="1" si="57"/>
        <v/>
      </c>
      <c r="CO16" s="31" t="str">
        <f t="shared" ca="1" si="57"/>
        <v/>
      </c>
      <c r="CP16" s="31" t="str">
        <f t="shared" ca="1" si="57"/>
        <v/>
      </c>
      <c r="CQ16" s="31" t="str">
        <f t="shared" ca="1" si="57"/>
        <v/>
      </c>
      <c r="CR16" s="31" t="str">
        <f t="shared" ca="1" si="57"/>
        <v/>
      </c>
      <c r="CS16" s="31" t="str">
        <f t="shared" ca="1" si="57"/>
        <v/>
      </c>
      <c r="CT16" s="31" t="str">
        <f t="shared" ca="1" si="57"/>
        <v/>
      </c>
      <c r="CU16" s="31" t="str">
        <f t="shared" ca="1" si="57"/>
        <v/>
      </c>
      <c r="CV16" s="31" t="str">
        <f t="shared" ca="1" si="57"/>
        <v/>
      </c>
      <c r="CW16" s="31" t="str">
        <f t="shared" ca="1" si="57"/>
        <v/>
      </c>
      <c r="CX16" s="31" t="str">
        <f t="shared" ca="1" si="57"/>
        <v/>
      </c>
      <c r="CY16" s="31" t="str">
        <f t="shared" ca="1" si="57"/>
        <v/>
      </c>
      <c r="CZ16" s="31" t="str">
        <f t="shared" ca="1" si="57"/>
        <v/>
      </c>
      <c r="DA16" s="31" t="str">
        <f t="shared" ca="1" si="58"/>
        <v/>
      </c>
      <c r="DB16" s="31" t="str">
        <f t="shared" ca="1" si="58"/>
        <v/>
      </c>
    </row>
    <row r="17" spans="1:106" s="2" customFormat="1" ht="42" x14ac:dyDescent="0.4">
      <c r="A17" s="52"/>
      <c r="B17" s="48" t="s">
        <v>48</v>
      </c>
      <c r="C17" s="47" t="s">
        <v>20</v>
      </c>
      <c r="D17" s="47" t="s">
        <v>37</v>
      </c>
      <c r="E17" s="49">
        <v>1</v>
      </c>
      <c r="F17" s="50">
        <f>F16+G16</f>
        <v>45904</v>
      </c>
      <c r="G17" s="51">
        <v>6</v>
      </c>
      <c r="H17" s="21"/>
      <c r="I17" s="31" t="str">
        <f t="shared" ca="1" si="59"/>
        <v/>
      </c>
      <c r="J17" s="31" t="str">
        <f t="shared" ca="1" si="52"/>
        <v/>
      </c>
      <c r="K17" s="31" t="str">
        <f t="shared" ca="1" si="52"/>
        <v/>
      </c>
      <c r="L17" s="31" t="str">
        <f t="shared" ca="1" si="52"/>
        <v/>
      </c>
      <c r="M17" s="31" t="str">
        <f t="shared" ca="1" si="52"/>
        <v/>
      </c>
      <c r="N17" s="31" t="str">
        <f t="shared" ca="1" si="52"/>
        <v/>
      </c>
      <c r="O17" s="31" t="str">
        <f t="shared" ca="1" si="52"/>
        <v/>
      </c>
      <c r="P17" s="31" t="str">
        <f t="shared" ca="1" si="52"/>
        <v/>
      </c>
      <c r="Q17" s="31" t="str">
        <f t="shared" ca="1" si="52"/>
        <v/>
      </c>
      <c r="R17" s="31" t="str">
        <f t="shared" ca="1" si="52"/>
        <v/>
      </c>
      <c r="S17" s="31" t="str">
        <f t="shared" ca="1" si="52"/>
        <v/>
      </c>
      <c r="T17" s="31" t="str">
        <f t="shared" ca="1" si="52"/>
        <v/>
      </c>
      <c r="U17" s="31" t="str">
        <f t="shared" ca="1" si="52"/>
        <v/>
      </c>
      <c r="V17" s="31" t="str">
        <f t="shared" ca="1" si="52"/>
        <v/>
      </c>
      <c r="W17" s="31" t="str">
        <f t="shared" ca="1" si="52"/>
        <v/>
      </c>
      <c r="X17" s="31" t="str">
        <f t="shared" ca="1" si="52"/>
        <v/>
      </c>
      <c r="Y17" s="31" t="str">
        <f t="shared" ca="1" si="53"/>
        <v/>
      </c>
      <c r="Z17" s="31" t="str">
        <f t="shared" ca="1" si="53"/>
        <v/>
      </c>
      <c r="AA17" s="31" t="str">
        <f t="shared" ca="1" si="53"/>
        <v/>
      </c>
      <c r="AB17" s="31" t="str">
        <f t="shared" ca="1" si="53"/>
        <v/>
      </c>
      <c r="AC17" s="31" t="str">
        <f t="shared" ca="1" si="53"/>
        <v/>
      </c>
      <c r="AD17" s="31" t="str">
        <f t="shared" ca="1" si="53"/>
        <v/>
      </c>
      <c r="AE17" s="31" t="str">
        <f t="shared" ca="1" si="60"/>
        <v/>
      </c>
      <c r="AF17" s="31" t="str">
        <f t="shared" ca="1" si="53"/>
        <v/>
      </c>
      <c r="AG17" s="31" t="str">
        <f t="shared" ca="1" si="53"/>
        <v/>
      </c>
      <c r="AH17" s="31" t="str">
        <f t="shared" ca="1" si="53"/>
        <v/>
      </c>
      <c r="AI17" s="31" t="str">
        <f t="shared" ca="1" si="53"/>
        <v/>
      </c>
      <c r="AJ17" s="31" t="str">
        <f t="shared" ca="1" si="53"/>
        <v/>
      </c>
      <c r="AK17" s="31" t="str">
        <f t="shared" ca="1" si="53"/>
        <v/>
      </c>
      <c r="AL17" s="31" t="str">
        <f t="shared" ca="1" si="53"/>
        <v/>
      </c>
      <c r="AM17" s="31" t="str">
        <f t="shared" ca="1" si="53"/>
        <v/>
      </c>
      <c r="AN17" s="31" t="str">
        <f t="shared" ca="1" si="53"/>
        <v/>
      </c>
      <c r="AO17" s="31" t="str">
        <f t="shared" ca="1" si="54"/>
        <v/>
      </c>
      <c r="AP17" s="31" t="str">
        <f t="shared" ca="1" si="54"/>
        <v/>
      </c>
      <c r="AQ17" s="31" t="str">
        <f t="shared" ca="1" si="54"/>
        <v/>
      </c>
      <c r="AR17" s="31" t="str">
        <f t="shared" ca="1" si="54"/>
        <v/>
      </c>
      <c r="AS17" s="31" t="str">
        <f t="shared" ca="1" si="54"/>
        <v/>
      </c>
      <c r="AT17" s="31" t="str">
        <f t="shared" ca="1" si="54"/>
        <v/>
      </c>
      <c r="AU17" s="31" t="str">
        <f t="shared" ca="1" si="54"/>
        <v/>
      </c>
      <c r="AV17" s="31" t="str">
        <f t="shared" ca="1" si="54"/>
        <v/>
      </c>
      <c r="AW17" s="31" t="str">
        <f t="shared" ca="1" si="54"/>
        <v/>
      </c>
      <c r="AX17" s="31" t="str">
        <f t="shared" ca="1" si="54"/>
        <v/>
      </c>
      <c r="AY17" s="31" t="str">
        <f t="shared" ca="1" si="54"/>
        <v/>
      </c>
      <c r="AZ17" s="31" t="str">
        <f t="shared" ca="1" si="54"/>
        <v/>
      </c>
      <c r="BA17" s="31" t="str">
        <f t="shared" ca="1" si="54"/>
        <v/>
      </c>
      <c r="BB17" s="31" t="str">
        <f t="shared" ca="1" si="54"/>
        <v/>
      </c>
      <c r="BC17" s="31" t="str">
        <f t="shared" ca="1" si="54"/>
        <v/>
      </c>
      <c r="BD17" s="31" t="str">
        <f t="shared" ca="1" si="54"/>
        <v/>
      </c>
      <c r="BE17" s="31" t="str">
        <f t="shared" ca="1" si="55"/>
        <v/>
      </c>
      <c r="BF17" s="31" t="str">
        <f t="shared" ca="1" si="55"/>
        <v/>
      </c>
      <c r="BG17" s="31" t="str">
        <f t="shared" ca="1" si="55"/>
        <v/>
      </c>
      <c r="BH17" s="31" t="str">
        <f t="shared" ca="1" si="55"/>
        <v/>
      </c>
      <c r="BI17" s="31" t="str">
        <f t="shared" ca="1" si="55"/>
        <v/>
      </c>
      <c r="BJ17" s="31" t="str">
        <f t="shared" ca="1" si="55"/>
        <v/>
      </c>
      <c r="BK17" s="31" t="str">
        <f t="shared" ca="1" si="55"/>
        <v/>
      </c>
      <c r="BL17" s="31" t="str">
        <f t="shared" ca="1" si="55"/>
        <v/>
      </c>
      <c r="BM17" s="31" t="str">
        <f t="shared" ca="1" si="55"/>
        <v/>
      </c>
      <c r="BN17" s="31" t="str">
        <f t="shared" ca="1" si="55"/>
        <v/>
      </c>
      <c r="BO17" s="31" t="str">
        <f t="shared" ca="1" si="55"/>
        <v/>
      </c>
      <c r="BP17" s="31" t="str">
        <f t="shared" ca="1" si="55"/>
        <v/>
      </c>
      <c r="BQ17" s="31" t="str">
        <f t="shared" ca="1" si="55"/>
        <v/>
      </c>
      <c r="BR17" s="31" t="str">
        <f t="shared" ca="1" si="55"/>
        <v/>
      </c>
      <c r="BS17" s="31" t="str">
        <f t="shared" ca="1" si="56"/>
        <v/>
      </c>
      <c r="BT17" s="31" t="str">
        <f t="shared" ca="1" si="56"/>
        <v/>
      </c>
      <c r="BU17" s="31" t="str">
        <f t="shared" ca="1" si="56"/>
        <v/>
      </c>
      <c r="BV17" s="31" t="str">
        <f t="shared" ca="1" si="56"/>
        <v/>
      </c>
      <c r="BW17" s="31" t="str">
        <f t="shared" ca="1" si="56"/>
        <v/>
      </c>
      <c r="BX17" s="31" t="str">
        <f t="shared" ca="1" si="56"/>
        <v/>
      </c>
      <c r="BY17" s="31" t="str">
        <f t="shared" ca="1" si="56"/>
        <v/>
      </c>
      <c r="BZ17" s="31" t="str">
        <f t="shared" ca="1" si="56"/>
        <v/>
      </c>
      <c r="CA17" s="31" t="str">
        <f t="shared" ca="1" si="56"/>
        <v/>
      </c>
      <c r="CB17" s="31" t="str">
        <f t="shared" ca="1" si="56"/>
        <v/>
      </c>
      <c r="CC17" s="31" t="str">
        <f t="shared" ca="1" si="57"/>
        <v/>
      </c>
      <c r="CD17" s="31" t="str">
        <f t="shared" ca="1" si="57"/>
        <v/>
      </c>
      <c r="CE17" s="31" t="str">
        <f t="shared" ca="1" si="57"/>
        <v/>
      </c>
      <c r="CF17" s="31" t="str">
        <f t="shared" ca="1" si="57"/>
        <v/>
      </c>
      <c r="CG17" s="31" t="str">
        <f t="shared" ca="1" si="57"/>
        <v/>
      </c>
      <c r="CH17" s="31" t="str">
        <f t="shared" ca="1" si="57"/>
        <v/>
      </c>
      <c r="CI17" s="31" t="str">
        <f t="shared" ca="1" si="57"/>
        <v/>
      </c>
      <c r="CJ17" s="31" t="str">
        <f t="shared" ca="1" si="57"/>
        <v/>
      </c>
      <c r="CK17" s="31" t="str">
        <f t="shared" ca="1" si="57"/>
        <v/>
      </c>
      <c r="CL17" s="31" t="str">
        <f t="shared" ca="1" si="57"/>
        <v/>
      </c>
      <c r="CM17" s="31" t="str">
        <f t="shared" ca="1" si="57"/>
        <v/>
      </c>
      <c r="CN17" s="31" t="str">
        <f t="shared" ca="1" si="57"/>
        <v/>
      </c>
      <c r="CO17" s="31" t="str">
        <f t="shared" ca="1" si="57"/>
        <v/>
      </c>
      <c r="CP17" s="31" t="str">
        <f t="shared" ca="1" si="57"/>
        <v/>
      </c>
      <c r="CQ17" s="31" t="str">
        <f t="shared" ca="1" si="57"/>
        <v/>
      </c>
      <c r="CR17" s="31" t="str">
        <f t="shared" ca="1" si="57"/>
        <v/>
      </c>
      <c r="CS17" s="31" t="str">
        <f t="shared" ca="1" si="57"/>
        <v/>
      </c>
      <c r="CT17" s="31" t="str">
        <f t="shared" ca="1" si="57"/>
        <v/>
      </c>
      <c r="CU17" s="31" t="str">
        <f t="shared" ca="1" si="57"/>
        <v/>
      </c>
      <c r="CV17" s="31" t="str">
        <f t="shared" ca="1" si="57"/>
        <v/>
      </c>
      <c r="CW17" s="31" t="str">
        <f t="shared" ca="1" si="57"/>
        <v/>
      </c>
      <c r="CX17" s="31" t="str">
        <f t="shared" ca="1" si="57"/>
        <v/>
      </c>
      <c r="CY17" s="31" t="str">
        <f t="shared" ca="1" si="57"/>
        <v/>
      </c>
      <c r="CZ17" s="31" t="str">
        <f t="shared" ca="1" si="57"/>
        <v/>
      </c>
      <c r="DA17" s="31" t="str">
        <f t="shared" ca="1" si="58"/>
        <v/>
      </c>
      <c r="DB17" s="31" t="str">
        <f t="shared" ca="1" si="58"/>
        <v/>
      </c>
    </row>
    <row r="18" spans="1:106" s="2" customFormat="1" ht="42" x14ac:dyDescent="0.4">
      <c r="A18" s="52"/>
      <c r="B18" s="48" t="s">
        <v>49</v>
      </c>
      <c r="C18" s="47" t="s">
        <v>17</v>
      </c>
      <c r="D18" s="47" t="s">
        <v>50</v>
      </c>
      <c r="E18" s="49">
        <v>1</v>
      </c>
      <c r="F18" s="50">
        <f t="shared" ref="F18:F20" si="61">F17+G17</f>
        <v>45910</v>
      </c>
      <c r="G18" s="51">
        <v>5</v>
      </c>
      <c r="H18" s="21"/>
      <c r="I18" s="31" t="str">
        <f t="shared" ca="1" si="59"/>
        <v/>
      </c>
      <c r="J18" s="31" t="str">
        <f t="shared" ca="1" si="52"/>
        <v/>
      </c>
      <c r="K18" s="31" t="str">
        <f t="shared" ca="1" si="52"/>
        <v/>
      </c>
      <c r="L18" s="31" t="str">
        <f t="shared" ca="1" si="52"/>
        <v/>
      </c>
      <c r="M18" s="31" t="str">
        <f t="shared" ca="1" si="52"/>
        <v/>
      </c>
      <c r="N18" s="31" t="str">
        <f t="shared" ca="1" si="52"/>
        <v/>
      </c>
      <c r="O18" s="31" t="str">
        <f t="shared" ca="1" si="52"/>
        <v/>
      </c>
      <c r="P18" s="31" t="str">
        <f t="shared" ca="1" si="52"/>
        <v/>
      </c>
      <c r="Q18" s="31" t="str">
        <f t="shared" ca="1" si="52"/>
        <v/>
      </c>
      <c r="R18" s="31" t="str">
        <f t="shared" ca="1" si="52"/>
        <v/>
      </c>
      <c r="S18" s="31" t="str">
        <f t="shared" ca="1" si="52"/>
        <v/>
      </c>
      <c r="T18" s="31" t="str">
        <f t="shared" ca="1" si="52"/>
        <v/>
      </c>
      <c r="U18" s="31" t="str">
        <f t="shared" ca="1" si="52"/>
        <v/>
      </c>
      <c r="V18" s="31" t="str">
        <f t="shared" ca="1" si="52"/>
        <v/>
      </c>
      <c r="W18" s="31" t="str">
        <f t="shared" ca="1" si="52"/>
        <v/>
      </c>
      <c r="X18" s="31" t="str">
        <f t="shared" ca="1" si="52"/>
        <v/>
      </c>
      <c r="Y18" s="31" t="str">
        <f t="shared" ca="1" si="53"/>
        <v/>
      </c>
      <c r="Z18" s="31" t="str">
        <f t="shared" ca="1" si="53"/>
        <v/>
      </c>
      <c r="AA18" s="31" t="str">
        <f t="shared" ca="1" si="53"/>
        <v/>
      </c>
      <c r="AB18" s="31" t="str">
        <f t="shared" ca="1" si="53"/>
        <v/>
      </c>
      <c r="AC18" s="31" t="str">
        <f t="shared" ca="1" si="53"/>
        <v/>
      </c>
      <c r="AD18" s="31" t="str">
        <f t="shared" ca="1" si="53"/>
        <v/>
      </c>
      <c r="AE18" s="31" t="str">
        <f t="shared" ca="1" si="60"/>
        <v/>
      </c>
      <c r="AF18" s="31" t="str">
        <f t="shared" ca="1" si="53"/>
        <v/>
      </c>
      <c r="AG18" s="31" t="str">
        <f t="shared" ca="1" si="53"/>
        <v/>
      </c>
      <c r="AH18" s="31" t="str">
        <f t="shared" ca="1" si="53"/>
        <v/>
      </c>
      <c r="AI18" s="31" t="str">
        <f t="shared" ca="1" si="53"/>
        <v/>
      </c>
      <c r="AJ18" s="31" t="str">
        <f t="shared" ca="1" si="53"/>
        <v/>
      </c>
      <c r="AK18" s="31" t="str">
        <f t="shared" ca="1" si="53"/>
        <v/>
      </c>
      <c r="AL18" s="31" t="str">
        <f t="shared" ca="1" si="53"/>
        <v/>
      </c>
      <c r="AM18" s="31" t="str">
        <f t="shared" ca="1" si="53"/>
        <v/>
      </c>
      <c r="AN18" s="31" t="str">
        <f t="shared" ca="1" si="53"/>
        <v/>
      </c>
      <c r="AO18" s="31" t="str">
        <f t="shared" ca="1" si="54"/>
        <v/>
      </c>
      <c r="AP18" s="31" t="str">
        <f t="shared" ca="1" si="54"/>
        <v/>
      </c>
      <c r="AQ18" s="31" t="str">
        <f t="shared" ca="1" si="54"/>
        <v/>
      </c>
      <c r="AR18" s="31" t="str">
        <f t="shared" ca="1" si="54"/>
        <v/>
      </c>
      <c r="AS18" s="31" t="str">
        <f t="shared" ca="1" si="54"/>
        <v/>
      </c>
      <c r="AT18" s="31" t="str">
        <f t="shared" ca="1" si="54"/>
        <v/>
      </c>
      <c r="AU18" s="31" t="str">
        <f t="shared" ca="1" si="54"/>
        <v/>
      </c>
      <c r="AV18" s="31" t="str">
        <f t="shared" ca="1" si="54"/>
        <v/>
      </c>
      <c r="AW18" s="31" t="str">
        <f t="shared" ca="1" si="54"/>
        <v/>
      </c>
      <c r="AX18" s="31" t="str">
        <f t="shared" ca="1" si="54"/>
        <v/>
      </c>
      <c r="AY18" s="31" t="str">
        <f t="shared" ca="1" si="54"/>
        <v/>
      </c>
      <c r="AZ18" s="31" t="str">
        <f t="shared" ca="1" si="54"/>
        <v/>
      </c>
      <c r="BA18" s="31" t="str">
        <f t="shared" ca="1" si="54"/>
        <v/>
      </c>
      <c r="BB18" s="31" t="str">
        <f t="shared" ca="1" si="54"/>
        <v/>
      </c>
      <c r="BC18" s="31" t="str">
        <f t="shared" ca="1" si="54"/>
        <v/>
      </c>
      <c r="BD18" s="31" t="str">
        <f t="shared" ca="1" si="54"/>
        <v/>
      </c>
      <c r="BE18" s="31" t="str">
        <f t="shared" ca="1" si="55"/>
        <v/>
      </c>
      <c r="BF18" s="31" t="str">
        <f t="shared" ca="1" si="55"/>
        <v/>
      </c>
      <c r="BG18" s="31" t="str">
        <f t="shared" ca="1" si="55"/>
        <v/>
      </c>
      <c r="BH18" s="31" t="str">
        <f t="shared" ca="1" si="55"/>
        <v/>
      </c>
      <c r="BI18" s="31" t="str">
        <f t="shared" ca="1" si="55"/>
        <v/>
      </c>
      <c r="BJ18" s="31" t="str">
        <f t="shared" ca="1" si="55"/>
        <v/>
      </c>
      <c r="BK18" s="31" t="str">
        <f t="shared" ca="1" si="55"/>
        <v/>
      </c>
      <c r="BL18" s="31" t="str">
        <f t="shared" ca="1" si="55"/>
        <v/>
      </c>
      <c r="BM18" s="31" t="str">
        <f t="shared" ca="1" si="55"/>
        <v/>
      </c>
      <c r="BN18" s="31" t="str">
        <f t="shared" ca="1" si="55"/>
        <v/>
      </c>
      <c r="BO18" s="31" t="str">
        <f t="shared" ca="1" si="55"/>
        <v/>
      </c>
      <c r="BP18" s="31" t="str">
        <f t="shared" ca="1" si="55"/>
        <v/>
      </c>
      <c r="BQ18" s="31" t="str">
        <f t="shared" ca="1" si="55"/>
        <v/>
      </c>
      <c r="BR18" s="31" t="str">
        <f t="shared" ca="1" si="55"/>
        <v/>
      </c>
      <c r="BS18" s="31" t="str">
        <f t="shared" ca="1" si="56"/>
        <v/>
      </c>
      <c r="BT18" s="31" t="str">
        <f t="shared" ca="1" si="56"/>
        <v/>
      </c>
      <c r="BU18" s="31" t="str">
        <f t="shared" ca="1" si="56"/>
        <v/>
      </c>
      <c r="BV18" s="31" t="str">
        <f t="shared" ca="1" si="56"/>
        <v/>
      </c>
      <c r="BW18" s="31" t="str">
        <f t="shared" ca="1" si="56"/>
        <v/>
      </c>
      <c r="BX18" s="31" t="str">
        <f t="shared" ca="1" si="56"/>
        <v/>
      </c>
      <c r="BY18" s="31" t="str">
        <f t="shared" ca="1" si="56"/>
        <v/>
      </c>
      <c r="BZ18" s="31" t="str">
        <f t="shared" ca="1" si="56"/>
        <v/>
      </c>
      <c r="CA18" s="31" t="str">
        <f t="shared" ca="1" si="56"/>
        <v/>
      </c>
      <c r="CB18" s="31" t="str">
        <f t="shared" ca="1" si="56"/>
        <v/>
      </c>
      <c r="CC18" s="31" t="str">
        <f t="shared" ca="1" si="57"/>
        <v/>
      </c>
      <c r="CD18" s="31" t="str">
        <f t="shared" ca="1" si="57"/>
        <v/>
      </c>
      <c r="CE18" s="31" t="str">
        <f t="shared" ca="1" si="57"/>
        <v/>
      </c>
      <c r="CF18" s="31" t="str">
        <f t="shared" ca="1" si="57"/>
        <v/>
      </c>
      <c r="CG18" s="31" t="str">
        <f t="shared" ca="1" si="57"/>
        <v/>
      </c>
      <c r="CH18" s="31" t="str">
        <f t="shared" ca="1" si="57"/>
        <v/>
      </c>
      <c r="CI18" s="31" t="str">
        <f t="shared" ca="1" si="57"/>
        <v/>
      </c>
      <c r="CJ18" s="31" t="str">
        <f t="shared" ca="1" si="57"/>
        <v/>
      </c>
      <c r="CK18" s="31" t="str">
        <f t="shared" ca="1" si="57"/>
        <v/>
      </c>
      <c r="CL18" s="31" t="str">
        <f t="shared" ca="1" si="57"/>
        <v/>
      </c>
      <c r="CM18" s="31" t="str">
        <f t="shared" ca="1" si="57"/>
        <v/>
      </c>
      <c r="CN18" s="31" t="str">
        <f t="shared" ca="1" si="57"/>
        <v/>
      </c>
      <c r="CO18" s="31" t="str">
        <f t="shared" ca="1" si="57"/>
        <v/>
      </c>
      <c r="CP18" s="31" t="str">
        <f t="shared" ca="1" si="57"/>
        <v/>
      </c>
      <c r="CQ18" s="31" t="str">
        <f t="shared" ca="1" si="57"/>
        <v/>
      </c>
      <c r="CR18" s="31" t="str">
        <f t="shared" ca="1" si="57"/>
        <v/>
      </c>
      <c r="CS18" s="31" t="str">
        <f t="shared" ca="1" si="57"/>
        <v/>
      </c>
      <c r="CT18" s="31" t="str">
        <f t="shared" ca="1" si="57"/>
        <v/>
      </c>
      <c r="CU18" s="31" t="str">
        <f t="shared" ca="1" si="57"/>
        <v/>
      </c>
      <c r="CV18" s="31" t="str">
        <f t="shared" ca="1" si="57"/>
        <v/>
      </c>
      <c r="CW18" s="31" t="str">
        <f t="shared" ca="1" si="57"/>
        <v/>
      </c>
      <c r="CX18" s="31" t="str">
        <f t="shared" ca="1" si="57"/>
        <v/>
      </c>
      <c r="CY18" s="31" t="str">
        <f t="shared" ca="1" si="57"/>
        <v/>
      </c>
      <c r="CZ18" s="31" t="str">
        <f t="shared" ca="1" si="57"/>
        <v/>
      </c>
      <c r="DA18" s="31" t="str">
        <f t="shared" ca="1" si="58"/>
        <v/>
      </c>
      <c r="DB18" s="31" t="str">
        <f t="shared" ca="1" si="58"/>
        <v/>
      </c>
    </row>
    <row r="19" spans="1:106" s="2" customFormat="1" ht="42" x14ac:dyDescent="0.4">
      <c r="A19" s="52"/>
      <c r="B19" s="48" t="s">
        <v>51</v>
      </c>
      <c r="C19" s="47" t="s">
        <v>16</v>
      </c>
      <c r="D19" s="47" t="s">
        <v>47</v>
      </c>
      <c r="E19" s="49">
        <v>1</v>
      </c>
      <c r="F19" s="50">
        <f t="shared" si="61"/>
        <v>45915</v>
      </c>
      <c r="G19" s="51">
        <v>3</v>
      </c>
      <c r="H19" s="21"/>
      <c r="I19" s="31" t="str">
        <f t="shared" ca="1" si="59"/>
        <v/>
      </c>
      <c r="J19" s="31" t="str">
        <f t="shared" ca="1" si="52"/>
        <v/>
      </c>
      <c r="K19" s="31" t="str">
        <f t="shared" ca="1" si="52"/>
        <v/>
      </c>
      <c r="L19" s="31" t="str">
        <f t="shared" ca="1" si="52"/>
        <v/>
      </c>
      <c r="M19" s="31" t="str">
        <f t="shared" ca="1" si="52"/>
        <v/>
      </c>
      <c r="N19" s="31" t="str">
        <f t="shared" ca="1" si="52"/>
        <v/>
      </c>
      <c r="O19" s="31" t="str">
        <f t="shared" ca="1" si="52"/>
        <v/>
      </c>
      <c r="P19" s="31" t="str">
        <f t="shared" ca="1" si="52"/>
        <v/>
      </c>
      <c r="Q19" s="31" t="str">
        <f t="shared" ca="1" si="52"/>
        <v/>
      </c>
      <c r="R19" s="31" t="str">
        <f t="shared" ca="1" si="52"/>
        <v/>
      </c>
      <c r="S19" s="31" t="str">
        <f t="shared" ca="1" si="52"/>
        <v/>
      </c>
      <c r="T19" s="31" t="str">
        <f t="shared" ca="1" si="52"/>
        <v/>
      </c>
      <c r="U19" s="31" t="str">
        <f t="shared" ca="1" si="52"/>
        <v/>
      </c>
      <c r="V19" s="31" t="str">
        <f t="shared" ca="1" si="52"/>
        <v/>
      </c>
      <c r="W19" s="31" t="str">
        <f t="shared" ca="1" si="52"/>
        <v/>
      </c>
      <c r="X19" s="31" t="str">
        <f t="shared" ca="1" si="52"/>
        <v/>
      </c>
      <c r="Y19" s="31" t="str">
        <f t="shared" ca="1" si="53"/>
        <v/>
      </c>
      <c r="Z19" s="31" t="str">
        <f t="shared" ca="1" si="53"/>
        <v/>
      </c>
      <c r="AA19" s="31" t="str">
        <f t="shared" ca="1" si="53"/>
        <v/>
      </c>
      <c r="AB19" s="31" t="str">
        <f t="shared" ca="1" si="53"/>
        <v/>
      </c>
      <c r="AC19" s="31" t="str">
        <f t="shared" ca="1" si="53"/>
        <v/>
      </c>
      <c r="AD19" s="31" t="str">
        <f t="shared" ca="1" si="53"/>
        <v/>
      </c>
      <c r="AE19" s="31" t="str">
        <f t="shared" ca="1" si="60"/>
        <v/>
      </c>
      <c r="AF19" s="31" t="str">
        <f t="shared" ca="1" si="53"/>
        <v/>
      </c>
      <c r="AG19" s="31" t="str">
        <f t="shared" ca="1" si="53"/>
        <v/>
      </c>
      <c r="AH19" s="31" t="str">
        <f t="shared" ca="1" si="53"/>
        <v/>
      </c>
      <c r="AI19" s="31" t="str">
        <f t="shared" ca="1" si="53"/>
        <v/>
      </c>
      <c r="AJ19" s="31" t="str">
        <f t="shared" ca="1" si="53"/>
        <v/>
      </c>
      <c r="AK19" s="31" t="str">
        <f t="shared" ca="1" si="53"/>
        <v/>
      </c>
      <c r="AL19" s="31" t="str">
        <f t="shared" ca="1" si="53"/>
        <v/>
      </c>
      <c r="AM19" s="31" t="str">
        <f t="shared" ca="1" si="53"/>
        <v/>
      </c>
      <c r="AN19" s="31" t="str">
        <f t="shared" ca="1" si="53"/>
        <v/>
      </c>
      <c r="AO19" s="31" t="str">
        <f t="shared" ca="1" si="54"/>
        <v/>
      </c>
      <c r="AP19" s="31" t="str">
        <f t="shared" ca="1" si="54"/>
        <v/>
      </c>
      <c r="AQ19" s="31" t="str">
        <f t="shared" ca="1" si="54"/>
        <v/>
      </c>
      <c r="AR19" s="31" t="str">
        <f t="shared" ca="1" si="54"/>
        <v/>
      </c>
      <c r="AS19" s="31" t="str">
        <f t="shared" ca="1" si="54"/>
        <v/>
      </c>
      <c r="AT19" s="31" t="str">
        <f t="shared" ca="1" si="54"/>
        <v/>
      </c>
      <c r="AU19" s="31" t="str">
        <f t="shared" ca="1" si="54"/>
        <v/>
      </c>
      <c r="AV19" s="31">
        <f t="shared" ca="1" si="54"/>
        <v>1</v>
      </c>
      <c r="AW19" s="31">
        <f t="shared" ca="1" si="54"/>
        <v>1</v>
      </c>
      <c r="AX19" s="31">
        <f t="shared" ca="1" si="54"/>
        <v>1</v>
      </c>
      <c r="AY19" s="31" t="str">
        <f t="shared" ca="1" si="54"/>
        <v/>
      </c>
      <c r="AZ19" s="31" t="str">
        <f t="shared" ca="1" si="54"/>
        <v/>
      </c>
      <c r="BA19" s="31" t="str">
        <f t="shared" ca="1" si="54"/>
        <v/>
      </c>
      <c r="BB19" s="31" t="str">
        <f t="shared" ca="1" si="54"/>
        <v/>
      </c>
      <c r="BC19" s="31" t="str">
        <f t="shared" ca="1" si="54"/>
        <v/>
      </c>
      <c r="BD19" s="31" t="str">
        <f t="shared" ca="1" si="54"/>
        <v/>
      </c>
      <c r="BE19" s="31" t="str">
        <f t="shared" ca="1" si="55"/>
        <v/>
      </c>
      <c r="BF19" s="31" t="str">
        <f t="shared" ca="1" si="55"/>
        <v/>
      </c>
      <c r="BG19" s="31" t="str">
        <f t="shared" ca="1" si="55"/>
        <v/>
      </c>
      <c r="BH19" s="31" t="str">
        <f t="shared" ca="1" si="55"/>
        <v/>
      </c>
      <c r="BI19" s="31" t="str">
        <f t="shared" ca="1" si="55"/>
        <v/>
      </c>
      <c r="BJ19" s="31" t="str">
        <f t="shared" ca="1" si="55"/>
        <v/>
      </c>
      <c r="BK19" s="31" t="str">
        <f t="shared" ca="1" si="55"/>
        <v/>
      </c>
      <c r="BL19" s="31" t="str">
        <f t="shared" ca="1" si="55"/>
        <v/>
      </c>
      <c r="BM19" s="31" t="str">
        <f t="shared" ca="1" si="55"/>
        <v/>
      </c>
      <c r="BN19" s="31" t="str">
        <f t="shared" ca="1" si="55"/>
        <v/>
      </c>
      <c r="BO19" s="31" t="str">
        <f t="shared" ca="1" si="55"/>
        <v/>
      </c>
      <c r="BP19" s="31" t="str">
        <f t="shared" ca="1" si="55"/>
        <v/>
      </c>
      <c r="BQ19" s="31" t="str">
        <f t="shared" ca="1" si="55"/>
        <v/>
      </c>
      <c r="BR19" s="31" t="str">
        <f t="shared" ca="1" si="55"/>
        <v/>
      </c>
      <c r="BS19" s="31" t="str">
        <f t="shared" ca="1" si="56"/>
        <v/>
      </c>
      <c r="BT19" s="31" t="str">
        <f t="shared" ca="1" si="56"/>
        <v/>
      </c>
      <c r="BU19" s="31" t="str">
        <f t="shared" ca="1" si="56"/>
        <v/>
      </c>
      <c r="BV19" s="31" t="str">
        <f t="shared" ca="1" si="56"/>
        <v/>
      </c>
      <c r="BW19" s="31" t="str">
        <f t="shared" ca="1" si="56"/>
        <v/>
      </c>
      <c r="BX19" s="31" t="str">
        <f t="shared" ca="1" si="56"/>
        <v/>
      </c>
      <c r="BY19" s="31" t="str">
        <f t="shared" ca="1" si="56"/>
        <v/>
      </c>
      <c r="BZ19" s="31" t="str">
        <f t="shared" ca="1" si="56"/>
        <v/>
      </c>
      <c r="CA19" s="31" t="str">
        <f t="shared" ca="1" si="56"/>
        <v/>
      </c>
      <c r="CB19" s="31" t="str">
        <f t="shared" ca="1" si="56"/>
        <v/>
      </c>
      <c r="CC19" s="31" t="str">
        <f t="shared" ca="1" si="57"/>
        <v/>
      </c>
      <c r="CD19" s="31" t="str">
        <f t="shared" ca="1" si="57"/>
        <v/>
      </c>
      <c r="CE19" s="31" t="str">
        <f t="shared" ca="1" si="57"/>
        <v/>
      </c>
      <c r="CF19" s="31" t="str">
        <f t="shared" ca="1" si="57"/>
        <v/>
      </c>
      <c r="CG19" s="31" t="str">
        <f t="shared" ca="1" si="57"/>
        <v/>
      </c>
      <c r="CH19" s="31" t="str">
        <f t="shared" ca="1" si="57"/>
        <v/>
      </c>
      <c r="CI19" s="31" t="str">
        <f t="shared" ca="1" si="57"/>
        <v/>
      </c>
      <c r="CJ19" s="31" t="str">
        <f t="shared" ca="1" si="57"/>
        <v/>
      </c>
      <c r="CK19" s="31" t="str">
        <f t="shared" ca="1" si="57"/>
        <v/>
      </c>
      <c r="CL19" s="31" t="str">
        <f t="shared" ca="1" si="57"/>
        <v/>
      </c>
      <c r="CM19" s="31" t="str">
        <f t="shared" ca="1" si="57"/>
        <v/>
      </c>
      <c r="CN19" s="31" t="str">
        <f t="shared" ca="1" si="57"/>
        <v/>
      </c>
      <c r="CO19" s="31" t="str">
        <f t="shared" ca="1" si="57"/>
        <v/>
      </c>
      <c r="CP19" s="31" t="str">
        <f t="shared" ca="1" si="57"/>
        <v/>
      </c>
      <c r="CQ19" s="31" t="str">
        <f t="shared" ca="1" si="57"/>
        <v/>
      </c>
      <c r="CR19" s="31" t="str">
        <f t="shared" ca="1" si="57"/>
        <v/>
      </c>
      <c r="CS19" s="31" t="str">
        <f t="shared" ca="1" si="57"/>
        <v/>
      </c>
      <c r="CT19" s="31" t="str">
        <f t="shared" ca="1" si="57"/>
        <v/>
      </c>
      <c r="CU19" s="31" t="str">
        <f t="shared" ca="1" si="57"/>
        <v/>
      </c>
      <c r="CV19" s="31" t="str">
        <f t="shared" ca="1" si="57"/>
        <v/>
      </c>
      <c r="CW19" s="31" t="str">
        <f t="shared" ca="1" si="57"/>
        <v/>
      </c>
      <c r="CX19" s="31" t="str">
        <f t="shared" ref="CE19:CZ31" ca="1" si="62">IF(AND($C19="Objetivo",CX$5&gt;=$F19,CX$5&lt;=$F19+$G19-1),2,IF(AND($C19="Hito",CX$5&gt;=$F19,CX$5&lt;=$F19+$G19-1),1,""))</f>
        <v/>
      </c>
      <c r="CY19" s="31" t="str">
        <f t="shared" ca="1" si="62"/>
        <v/>
      </c>
      <c r="CZ19" s="31" t="str">
        <f t="shared" ca="1" si="62"/>
        <v/>
      </c>
      <c r="DA19" s="31" t="str">
        <f t="shared" ca="1" si="58"/>
        <v/>
      </c>
      <c r="DB19" s="31" t="str">
        <f t="shared" ca="1" si="58"/>
        <v/>
      </c>
    </row>
    <row r="20" spans="1:106" s="2" customFormat="1" ht="42" x14ac:dyDescent="0.4">
      <c r="A20" s="52"/>
      <c r="B20" s="48" t="s">
        <v>53</v>
      </c>
      <c r="C20" s="47" t="s">
        <v>18</v>
      </c>
      <c r="D20" s="47" t="s">
        <v>52</v>
      </c>
      <c r="E20" s="49">
        <v>1</v>
      </c>
      <c r="F20" s="50">
        <f t="shared" si="61"/>
        <v>45918</v>
      </c>
      <c r="G20" s="51">
        <v>4</v>
      </c>
      <c r="H20" s="21"/>
      <c r="I20" s="31" t="str">
        <f t="shared" ca="1" si="59"/>
        <v/>
      </c>
      <c r="J20" s="31" t="str">
        <f t="shared" ca="1" si="52"/>
        <v/>
      </c>
      <c r="K20" s="31" t="str">
        <f t="shared" ca="1" si="52"/>
        <v/>
      </c>
      <c r="L20" s="31" t="str">
        <f t="shared" ca="1" si="52"/>
        <v/>
      </c>
      <c r="M20" s="31" t="str">
        <f t="shared" ca="1" si="52"/>
        <v/>
      </c>
      <c r="N20" s="31" t="str">
        <f t="shared" ca="1" si="52"/>
        <v/>
      </c>
      <c r="O20" s="31" t="str">
        <f t="shared" ca="1" si="52"/>
        <v/>
      </c>
      <c r="P20" s="31" t="str">
        <f t="shared" ca="1" si="52"/>
        <v/>
      </c>
      <c r="Q20" s="31" t="str">
        <f t="shared" ca="1" si="52"/>
        <v/>
      </c>
      <c r="R20" s="31" t="str">
        <f t="shared" ca="1" si="52"/>
        <v/>
      </c>
      <c r="S20" s="31" t="str">
        <f t="shared" ca="1" si="52"/>
        <v/>
      </c>
      <c r="T20" s="31" t="str">
        <f t="shared" ca="1" si="52"/>
        <v/>
      </c>
      <c r="U20" s="31" t="str">
        <f t="shared" ca="1" si="52"/>
        <v/>
      </c>
      <c r="V20" s="31" t="str">
        <f t="shared" ca="1" si="52"/>
        <v/>
      </c>
      <c r="W20" s="31" t="str">
        <f t="shared" ca="1" si="52"/>
        <v/>
      </c>
      <c r="X20" s="31" t="str">
        <f t="shared" ca="1" si="52"/>
        <v/>
      </c>
      <c r="Y20" s="31" t="str">
        <f t="shared" ca="1" si="53"/>
        <v/>
      </c>
      <c r="Z20" s="31" t="str">
        <f t="shared" ca="1" si="53"/>
        <v/>
      </c>
      <c r="AA20" s="31" t="str">
        <f t="shared" ca="1" si="53"/>
        <v/>
      </c>
      <c r="AB20" s="31" t="str">
        <f t="shared" ca="1" si="53"/>
        <v/>
      </c>
      <c r="AC20" s="31" t="str">
        <f t="shared" ca="1" si="53"/>
        <v/>
      </c>
      <c r="AD20" s="31" t="str">
        <f t="shared" ca="1" si="53"/>
        <v/>
      </c>
      <c r="AE20" s="31" t="str">
        <f t="shared" ca="1" si="60"/>
        <v/>
      </c>
      <c r="AF20" s="31" t="str">
        <f t="shared" ca="1" si="53"/>
        <v/>
      </c>
      <c r="AG20" s="31" t="str">
        <f t="shared" ca="1" si="53"/>
        <v/>
      </c>
      <c r="AH20" s="31" t="str">
        <f t="shared" ca="1" si="53"/>
        <v/>
      </c>
      <c r="AI20" s="31" t="str">
        <f t="shared" ca="1" si="53"/>
        <v/>
      </c>
      <c r="AJ20" s="31" t="str">
        <f t="shared" ca="1" si="53"/>
        <v/>
      </c>
      <c r="AK20" s="31" t="str">
        <f t="shared" ca="1" si="53"/>
        <v/>
      </c>
      <c r="AL20" s="31" t="str">
        <f t="shared" ca="1" si="53"/>
        <v/>
      </c>
      <c r="AM20" s="31" t="str">
        <f t="shared" ca="1" si="53"/>
        <v/>
      </c>
      <c r="AN20" s="31" t="str">
        <f t="shared" ca="1" si="53"/>
        <v/>
      </c>
      <c r="AO20" s="31" t="str">
        <f t="shared" ca="1" si="54"/>
        <v/>
      </c>
      <c r="AP20" s="31" t="str">
        <f t="shared" ca="1" si="54"/>
        <v/>
      </c>
      <c r="AQ20" s="31" t="str">
        <f t="shared" ca="1" si="54"/>
        <v/>
      </c>
      <c r="AR20" s="31" t="str">
        <f t="shared" ca="1" si="54"/>
        <v/>
      </c>
      <c r="AS20" s="31" t="str">
        <f t="shared" ca="1" si="54"/>
        <v/>
      </c>
      <c r="AT20" s="31" t="str">
        <f t="shared" ca="1" si="54"/>
        <v/>
      </c>
      <c r="AU20" s="31" t="str">
        <f t="shared" ca="1" si="54"/>
        <v/>
      </c>
      <c r="AV20" s="31" t="str">
        <f t="shared" ca="1" si="54"/>
        <v/>
      </c>
      <c r="AW20" s="31" t="str">
        <f t="shared" ca="1" si="54"/>
        <v/>
      </c>
      <c r="AX20" s="31" t="str">
        <f t="shared" ca="1" si="54"/>
        <v/>
      </c>
      <c r="AY20" s="31" t="str">
        <f t="shared" ca="1" si="54"/>
        <v/>
      </c>
      <c r="AZ20" s="31" t="str">
        <f t="shared" ca="1" si="54"/>
        <v/>
      </c>
      <c r="BA20" s="31" t="str">
        <f t="shared" ca="1" si="54"/>
        <v/>
      </c>
      <c r="BB20" s="31" t="str">
        <f t="shared" ca="1" si="54"/>
        <v/>
      </c>
      <c r="BC20" s="31" t="str">
        <f t="shared" ca="1" si="54"/>
        <v/>
      </c>
      <c r="BD20" s="31" t="str">
        <f t="shared" ca="1" si="54"/>
        <v/>
      </c>
      <c r="BE20" s="31" t="str">
        <f t="shared" ca="1" si="55"/>
        <v/>
      </c>
      <c r="BF20" s="31" t="str">
        <f t="shared" ca="1" si="55"/>
        <v/>
      </c>
      <c r="BG20" s="31" t="str">
        <f t="shared" ca="1" si="55"/>
        <v/>
      </c>
      <c r="BH20" s="31" t="str">
        <f t="shared" ca="1" si="55"/>
        <v/>
      </c>
      <c r="BI20" s="31" t="str">
        <f t="shared" ca="1" si="55"/>
        <v/>
      </c>
      <c r="BJ20" s="31" t="str">
        <f t="shared" ca="1" si="55"/>
        <v/>
      </c>
      <c r="BK20" s="31" t="str">
        <f t="shared" ca="1" si="55"/>
        <v/>
      </c>
      <c r="BL20" s="31" t="str">
        <f t="shared" ca="1" si="55"/>
        <v/>
      </c>
      <c r="BM20" s="31" t="str">
        <f t="shared" ca="1" si="55"/>
        <v/>
      </c>
      <c r="BN20" s="31" t="str">
        <f t="shared" ca="1" si="55"/>
        <v/>
      </c>
      <c r="BO20" s="31" t="str">
        <f t="shared" ca="1" si="55"/>
        <v/>
      </c>
      <c r="BP20" s="31" t="str">
        <f t="shared" ca="1" si="55"/>
        <v/>
      </c>
      <c r="BQ20" s="31" t="str">
        <f t="shared" ca="1" si="55"/>
        <v/>
      </c>
      <c r="BR20" s="31" t="str">
        <f t="shared" ca="1" si="55"/>
        <v/>
      </c>
      <c r="BS20" s="31" t="str">
        <f t="shared" ca="1" si="56"/>
        <v/>
      </c>
      <c r="BT20" s="31" t="str">
        <f t="shared" ca="1" si="56"/>
        <v/>
      </c>
      <c r="BU20" s="31" t="str">
        <f t="shared" ca="1" si="56"/>
        <v/>
      </c>
      <c r="BV20" s="31" t="str">
        <f t="shared" ca="1" si="56"/>
        <v/>
      </c>
      <c r="BW20" s="31" t="str">
        <f t="shared" ca="1" si="56"/>
        <v/>
      </c>
      <c r="BX20" s="31" t="str">
        <f t="shared" ca="1" si="56"/>
        <v/>
      </c>
      <c r="BY20" s="31" t="str">
        <f t="shared" ca="1" si="56"/>
        <v/>
      </c>
      <c r="BZ20" s="31" t="str">
        <f t="shared" ca="1" si="56"/>
        <v/>
      </c>
      <c r="CA20" s="31" t="str">
        <f t="shared" ca="1" si="56"/>
        <v/>
      </c>
      <c r="CB20" s="31" t="str">
        <f t="shared" ca="1" si="56"/>
        <v/>
      </c>
      <c r="CC20" s="31" t="str">
        <f t="shared" ca="1" si="56"/>
        <v/>
      </c>
      <c r="CD20" s="31" t="str">
        <f t="shared" ca="1" si="56"/>
        <v/>
      </c>
      <c r="CE20" s="31" t="str">
        <f t="shared" ca="1" si="62"/>
        <v/>
      </c>
      <c r="CF20" s="31" t="str">
        <f t="shared" ca="1" si="62"/>
        <v/>
      </c>
      <c r="CG20" s="31" t="str">
        <f t="shared" ca="1" si="62"/>
        <v/>
      </c>
      <c r="CH20" s="31" t="str">
        <f t="shared" ca="1" si="62"/>
        <v/>
      </c>
      <c r="CI20" s="31" t="str">
        <f t="shared" ca="1" si="62"/>
        <v/>
      </c>
      <c r="CJ20" s="31" t="str">
        <f t="shared" ca="1" si="62"/>
        <v/>
      </c>
      <c r="CK20" s="31" t="str">
        <f t="shared" ca="1" si="62"/>
        <v/>
      </c>
      <c r="CL20" s="31" t="str">
        <f t="shared" ca="1" si="62"/>
        <v/>
      </c>
      <c r="CM20" s="31" t="str">
        <f t="shared" ca="1" si="62"/>
        <v/>
      </c>
      <c r="CN20" s="31" t="str">
        <f t="shared" ca="1" si="62"/>
        <v/>
      </c>
      <c r="CO20" s="31" t="str">
        <f t="shared" ca="1" si="62"/>
        <v/>
      </c>
      <c r="CP20" s="31" t="str">
        <f t="shared" ca="1" si="62"/>
        <v/>
      </c>
      <c r="CQ20" s="31" t="str">
        <f t="shared" ca="1" si="62"/>
        <v/>
      </c>
      <c r="CR20" s="31" t="str">
        <f t="shared" ca="1" si="62"/>
        <v/>
      </c>
      <c r="CS20" s="31" t="str">
        <f t="shared" ca="1" si="62"/>
        <v/>
      </c>
      <c r="CT20" s="31" t="str">
        <f t="shared" ca="1" si="62"/>
        <v/>
      </c>
      <c r="CU20" s="31" t="str">
        <f t="shared" ca="1" si="62"/>
        <v/>
      </c>
      <c r="CV20" s="31" t="str">
        <f t="shared" ca="1" si="62"/>
        <v/>
      </c>
      <c r="CW20" s="31" t="str">
        <f t="shared" ca="1" si="62"/>
        <v/>
      </c>
      <c r="CX20" s="31" t="str">
        <f t="shared" ca="1" si="62"/>
        <v/>
      </c>
      <c r="CY20" s="31" t="str">
        <f t="shared" ca="1" si="62"/>
        <v/>
      </c>
      <c r="CZ20" s="31" t="str">
        <f t="shared" ca="1" si="62"/>
        <v/>
      </c>
      <c r="DA20" s="31" t="str">
        <f t="shared" ca="1" si="58"/>
        <v/>
      </c>
      <c r="DB20" s="31" t="str">
        <f t="shared" ca="1" si="58"/>
        <v/>
      </c>
    </row>
    <row r="21" spans="1:106" s="2" customFormat="1" ht="42" x14ac:dyDescent="0.4">
      <c r="A21" s="52"/>
      <c r="B21" s="46" t="s">
        <v>54</v>
      </c>
      <c r="C21" s="47"/>
      <c r="D21" s="47"/>
      <c r="E21" s="34"/>
      <c r="F21" s="34"/>
      <c r="G21" s="34"/>
      <c r="H21" s="21"/>
      <c r="I21" s="31" t="str">
        <f t="shared" ca="1" si="59"/>
        <v/>
      </c>
      <c r="J21" s="31" t="str">
        <f t="shared" ca="1" si="52"/>
        <v/>
      </c>
      <c r="K21" s="31" t="str">
        <f t="shared" ca="1" si="52"/>
        <v/>
      </c>
      <c r="L21" s="31" t="str">
        <f t="shared" ca="1" si="52"/>
        <v/>
      </c>
      <c r="M21" s="31" t="str">
        <f t="shared" ca="1" si="52"/>
        <v/>
      </c>
      <c r="N21" s="31" t="str">
        <f t="shared" ca="1" si="52"/>
        <v/>
      </c>
      <c r="O21" s="31" t="str">
        <f t="shared" ca="1" si="52"/>
        <v/>
      </c>
      <c r="P21" s="31" t="str">
        <f t="shared" ca="1" si="52"/>
        <v/>
      </c>
      <c r="Q21" s="31" t="str">
        <f t="shared" ca="1" si="52"/>
        <v/>
      </c>
      <c r="R21" s="31" t="str">
        <f t="shared" ca="1" si="52"/>
        <v/>
      </c>
      <c r="S21" s="31" t="str">
        <f t="shared" ca="1" si="52"/>
        <v/>
      </c>
      <c r="T21" s="31" t="str">
        <f t="shared" ca="1" si="52"/>
        <v/>
      </c>
      <c r="U21" s="31" t="str">
        <f t="shared" ca="1" si="52"/>
        <v/>
      </c>
      <c r="V21" s="31" t="str">
        <f t="shared" ca="1" si="52"/>
        <v/>
      </c>
      <c r="W21" s="31" t="str">
        <f t="shared" ca="1" si="52"/>
        <v/>
      </c>
      <c r="X21" s="31" t="str">
        <f t="shared" ca="1" si="52"/>
        <v/>
      </c>
      <c r="Y21" s="31" t="str">
        <f t="shared" ca="1" si="53"/>
        <v/>
      </c>
      <c r="Z21" s="31" t="str">
        <f t="shared" ca="1" si="53"/>
        <v/>
      </c>
      <c r="AA21" s="31" t="str">
        <f t="shared" ca="1" si="53"/>
        <v/>
      </c>
      <c r="AB21" s="31" t="str">
        <f t="shared" ca="1" si="53"/>
        <v/>
      </c>
      <c r="AC21" s="31" t="str">
        <f t="shared" ca="1" si="53"/>
        <v/>
      </c>
      <c r="AD21" s="31" t="str">
        <f t="shared" ca="1" si="53"/>
        <v/>
      </c>
      <c r="AE21" s="31" t="str">
        <f t="shared" ca="1" si="60"/>
        <v/>
      </c>
      <c r="AF21" s="31" t="str">
        <f t="shared" ca="1" si="53"/>
        <v/>
      </c>
      <c r="AG21" s="31" t="str">
        <f t="shared" ca="1" si="53"/>
        <v/>
      </c>
      <c r="AH21" s="31" t="str">
        <f t="shared" ca="1" si="53"/>
        <v/>
      </c>
      <c r="AI21" s="31" t="str">
        <f t="shared" ca="1" si="53"/>
        <v/>
      </c>
      <c r="AJ21" s="31" t="str">
        <f t="shared" ca="1" si="53"/>
        <v/>
      </c>
      <c r="AK21" s="31" t="str">
        <f t="shared" ca="1" si="53"/>
        <v/>
      </c>
      <c r="AL21" s="31" t="str">
        <f t="shared" ca="1" si="53"/>
        <v/>
      </c>
      <c r="AM21" s="31" t="str">
        <f t="shared" ca="1" si="53"/>
        <v/>
      </c>
      <c r="AN21" s="31" t="str">
        <f t="shared" ca="1" si="53"/>
        <v/>
      </c>
      <c r="AO21" s="31" t="str">
        <f t="shared" ca="1" si="54"/>
        <v/>
      </c>
      <c r="AP21" s="31" t="str">
        <f t="shared" ca="1" si="54"/>
        <v/>
      </c>
      <c r="AQ21" s="31" t="str">
        <f t="shared" ca="1" si="54"/>
        <v/>
      </c>
      <c r="AR21" s="31" t="str">
        <f t="shared" ca="1" si="54"/>
        <v/>
      </c>
      <c r="AS21" s="31" t="str">
        <f t="shared" ca="1" si="54"/>
        <v/>
      </c>
      <c r="AT21" s="31" t="str">
        <f t="shared" ca="1" si="54"/>
        <v/>
      </c>
      <c r="AU21" s="31" t="str">
        <f t="shared" ca="1" si="54"/>
        <v/>
      </c>
      <c r="AV21" s="31" t="str">
        <f t="shared" ca="1" si="54"/>
        <v/>
      </c>
      <c r="AW21" s="31" t="str">
        <f t="shared" ca="1" si="54"/>
        <v/>
      </c>
      <c r="AX21" s="31" t="str">
        <f t="shared" ca="1" si="54"/>
        <v/>
      </c>
      <c r="AY21" s="31" t="str">
        <f t="shared" ca="1" si="54"/>
        <v/>
      </c>
      <c r="AZ21" s="31" t="str">
        <f t="shared" ca="1" si="54"/>
        <v/>
      </c>
      <c r="BA21" s="31" t="str">
        <f t="shared" ca="1" si="54"/>
        <v/>
      </c>
      <c r="BB21" s="31" t="str">
        <f t="shared" ca="1" si="54"/>
        <v/>
      </c>
      <c r="BC21" s="31" t="str">
        <f t="shared" ca="1" si="54"/>
        <v/>
      </c>
      <c r="BD21" s="31" t="str">
        <f t="shared" ca="1" si="54"/>
        <v/>
      </c>
      <c r="BE21" s="31" t="str">
        <f t="shared" ca="1" si="55"/>
        <v/>
      </c>
      <c r="BF21" s="31" t="str">
        <f t="shared" ca="1" si="55"/>
        <v/>
      </c>
      <c r="BG21" s="31" t="str">
        <f t="shared" ca="1" si="55"/>
        <v/>
      </c>
      <c r="BH21" s="31" t="str">
        <f t="shared" ca="1" si="55"/>
        <v/>
      </c>
      <c r="BI21" s="31" t="str">
        <f t="shared" ca="1" si="55"/>
        <v/>
      </c>
      <c r="BJ21" s="31" t="str">
        <f t="shared" ca="1" si="55"/>
        <v/>
      </c>
      <c r="BK21" s="31" t="str">
        <f t="shared" ca="1" si="55"/>
        <v/>
      </c>
      <c r="BL21" s="31" t="str">
        <f t="shared" ca="1" si="55"/>
        <v/>
      </c>
      <c r="BM21" s="31" t="str">
        <f t="shared" ca="1" si="55"/>
        <v/>
      </c>
      <c r="BN21" s="31" t="str">
        <f t="shared" ca="1" si="55"/>
        <v/>
      </c>
      <c r="BO21" s="31" t="str">
        <f t="shared" ca="1" si="55"/>
        <v/>
      </c>
      <c r="BP21" s="31" t="str">
        <f t="shared" ca="1" si="55"/>
        <v/>
      </c>
      <c r="BQ21" s="31" t="str">
        <f t="shared" ca="1" si="55"/>
        <v/>
      </c>
      <c r="BR21" s="31" t="str">
        <f t="shared" ca="1" si="55"/>
        <v/>
      </c>
      <c r="BS21" s="31" t="str">
        <f t="shared" ca="1" si="56"/>
        <v/>
      </c>
      <c r="BT21" s="31" t="str">
        <f t="shared" ca="1" si="56"/>
        <v/>
      </c>
      <c r="BU21" s="31" t="str">
        <f t="shared" ca="1" si="56"/>
        <v/>
      </c>
      <c r="BV21" s="31" t="str">
        <f t="shared" ca="1" si="56"/>
        <v/>
      </c>
      <c r="BW21" s="31" t="str">
        <f t="shared" ca="1" si="56"/>
        <v/>
      </c>
      <c r="BX21" s="31" t="str">
        <f t="shared" ca="1" si="56"/>
        <v/>
      </c>
      <c r="BY21" s="31" t="str">
        <f t="shared" ca="1" si="56"/>
        <v/>
      </c>
      <c r="BZ21" s="31" t="str">
        <f t="shared" ca="1" si="56"/>
        <v/>
      </c>
      <c r="CA21" s="31" t="str">
        <f t="shared" ca="1" si="56"/>
        <v/>
      </c>
      <c r="CB21" s="31" t="str">
        <f t="shared" ca="1" si="56"/>
        <v/>
      </c>
      <c r="CC21" s="31" t="str">
        <f t="shared" ca="1" si="56"/>
        <v/>
      </c>
      <c r="CD21" s="31" t="str">
        <f t="shared" ca="1" si="56"/>
        <v/>
      </c>
      <c r="CE21" s="31" t="str">
        <f t="shared" ca="1" si="62"/>
        <v/>
      </c>
      <c r="CF21" s="31" t="str">
        <f t="shared" ca="1" si="62"/>
        <v/>
      </c>
      <c r="CG21" s="31" t="str">
        <f t="shared" ca="1" si="62"/>
        <v/>
      </c>
      <c r="CH21" s="31" t="str">
        <f t="shared" ca="1" si="62"/>
        <v/>
      </c>
      <c r="CI21" s="31" t="str">
        <f t="shared" ca="1" si="62"/>
        <v/>
      </c>
      <c r="CJ21" s="31" t="str">
        <f t="shared" ca="1" si="62"/>
        <v/>
      </c>
      <c r="CK21" s="31" t="str">
        <f t="shared" ca="1" si="62"/>
        <v/>
      </c>
      <c r="CL21" s="31" t="str">
        <f t="shared" ca="1" si="62"/>
        <v/>
      </c>
      <c r="CM21" s="31" t="str">
        <f t="shared" ca="1" si="62"/>
        <v/>
      </c>
      <c r="CN21" s="31" t="str">
        <f t="shared" ca="1" si="62"/>
        <v/>
      </c>
      <c r="CO21" s="31" t="str">
        <f t="shared" ca="1" si="62"/>
        <v/>
      </c>
      <c r="CP21" s="31" t="str">
        <f t="shared" ca="1" si="62"/>
        <v/>
      </c>
      <c r="CQ21" s="31" t="str">
        <f t="shared" ca="1" si="62"/>
        <v/>
      </c>
      <c r="CR21" s="31" t="str">
        <f t="shared" ca="1" si="62"/>
        <v/>
      </c>
      <c r="CS21" s="31" t="str">
        <f t="shared" ca="1" si="62"/>
        <v/>
      </c>
      <c r="CT21" s="31" t="str">
        <f t="shared" ca="1" si="62"/>
        <v/>
      </c>
      <c r="CU21" s="31" t="str">
        <f t="shared" ca="1" si="62"/>
        <v/>
      </c>
      <c r="CV21" s="31" t="str">
        <f t="shared" ca="1" si="62"/>
        <v/>
      </c>
      <c r="CW21" s="31" t="str">
        <f t="shared" ca="1" si="62"/>
        <v/>
      </c>
      <c r="CX21" s="31" t="str">
        <f t="shared" ca="1" si="62"/>
        <v/>
      </c>
      <c r="CY21" s="31" t="str">
        <f t="shared" ca="1" si="62"/>
        <v/>
      </c>
      <c r="CZ21" s="31" t="str">
        <f t="shared" ca="1" si="62"/>
        <v/>
      </c>
      <c r="DA21" s="31" t="str">
        <f t="shared" ca="1" si="58"/>
        <v/>
      </c>
      <c r="DB21" s="31" t="str">
        <f t="shared" ca="1" si="58"/>
        <v/>
      </c>
    </row>
    <row r="22" spans="1:106" s="2" customFormat="1" ht="84" x14ac:dyDescent="0.4">
      <c r="A22" s="52"/>
      <c r="B22" s="48" t="s">
        <v>55</v>
      </c>
      <c r="C22" s="47" t="s">
        <v>20</v>
      </c>
      <c r="D22" s="47" t="s">
        <v>47</v>
      </c>
      <c r="E22" s="49">
        <v>0.45</v>
      </c>
      <c r="F22" s="50">
        <f>F20+G20</f>
        <v>45922</v>
      </c>
      <c r="G22" s="51">
        <v>8</v>
      </c>
      <c r="H22" s="21"/>
      <c r="I22" s="31" t="str">
        <f t="shared" ca="1" si="59"/>
        <v/>
      </c>
      <c r="J22" s="31" t="str">
        <f t="shared" ca="1" si="52"/>
        <v/>
      </c>
      <c r="K22" s="31" t="str">
        <f t="shared" ca="1" si="52"/>
        <v/>
      </c>
      <c r="L22" s="31" t="str">
        <f t="shared" ca="1" si="52"/>
        <v/>
      </c>
      <c r="M22" s="31" t="str">
        <f t="shared" ca="1" si="52"/>
        <v/>
      </c>
      <c r="N22" s="31" t="str">
        <f t="shared" ca="1" si="52"/>
        <v/>
      </c>
      <c r="O22" s="31" t="str">
        <f t="shared" ca="1" si="52"/>
        <v/>
      </c>
      <c r="P22" s="31" t="str">
        <f t="shared" ca="1" si="52"/>
        <v/>
      </c>
      <c r="Q22" s="31" t="str">
        <f t="shared" ca="1" si="52"/>
        <v/>
      </c>
      <c r="R22" s="31" t="str">
        <f t="shared" ca="1" si="52"/>
        <v/>
      </c>
      <c r="S22" s="31" t="str">
        <f t="shared" ca="1" si="52"/>
        <v/>
      </c>
      <c r="T22" s="31" t="str">
        <f t="shared" ca="1" si="52"/>
        <v/>
      </c>
      <c r="U22" s="31" t="str">
        <f t="shared" ca="1" si="52"/>
        <v/>
      </c>
      <c r="V22" s="31" t="str">
        <f t="shared" ca="1" si="52"/>
        <v/>
      </c>
      <c r="W22" s="31" t="str">
        <f t="shared" ca="1" si="52"/>
        <v/>
      </c>
      <c r="X22" s="31" t="str">
        <f t="shared" ca="1" si="52"/>
        <v/>
      </c>
      <c r="Y22" s="31" t="str">
        <f t="shared" ca="1" si="53"/>
        <v/>
      </c>
      <c r="Z22" s="31" t="str">
        <f t="shared" ca="1" si="53"/>
        <v/>
      </c>
      <c r="AA22" s="31" t="str">
        <f t="shared" ca="1" si="53"/>
        <v/>
      </c>
      <c r="AB22" s="31" t="str">
        <f t="shared" ca="1" si="53"/>
        <v/>
      </c>
      <c r="AC22" s="31" t="str">
        <f t="shared" ca="1" si="53"/>
        <v/>
      </c>
      <c r="AD22" s="31" t="str">
        <f t="shared" ca="1" si="53"/>
        <v/>
      </c>
      <c r="AE22" s="31" t="str">
        <f t="shared" ca="1" si="60"/>
        <v/>
      </c>
      <c r="AF22" s="31" t="str">
        <f t="shared" ca="1" si="53"/>
        <v/>
      </c>
      <c r="AG22" s="31" t="str">
        <f t="shared" ca="1" si="53"/>
        <v/>
      </c>
      <c r="AH22" s="31" t="str">
        <f t="shared" ca="1" si="53"/>
        <v/>
      </c>
      <c r="AI22" s="31" t="str">
        <f t="shared" ca="1" si="53"/>
        <v/>
      </c>
      <c r="AJ22" s="31" t="str">
        <f t="shared" ca="1" si="53"/>
        <v/>
      </c>
      <c r="AK22" s="31" t="str">
        <f t="shared" ca="1" si="53"/>
        <v/>
      </c>
      <c r="AL22" s="31" t="str">
        <f t="shared" ca="1" si="53"/>
        <v/>
      </c>
      <c r="AM22" s="31" t="str">
        <f t="shared" ca="1" si="53"/>
        <v/>
      </c>
      <c r="AN22" s="31" t="str">
        <f t="shared" ca="1" si="53"/>
        <v/>
      </c>
      <c r="AO22" s="31" t="str">
        <f t="shared" ca="1" si="54"/>
        <v/>
      </c>
      <c r="AP22" s="31" t="str">
        <f t="shared" ca="1" si="54"/>
        <v/>
      </c>
      <c r="AQ22" s="31" t="str">
        <f t="shared" ca="1" si="54"/>
        <v/>
      </c>
      <c r="AR22" s="31" t="str">
        <f t="shared" ca="1" si="54"/>
        <v/>
      </c>
      <c r="AS22" s="31" t="str">
        <f t="shared" ca="1" si="54"/>
        <v/>
      </c>
      <c r="AT22" s="31" t="str">
        <f t="shared" ca="1" si="54"/>
        <v/>
      </c>
      <c r="AU22" s="31" t="str">
        <f t="shared" ca="1" si="54"/>
        <v/>
      </c>
      <c r="AV22" s="31" t="str">
        <f t="shared" ca="1" si="54"/>
        <v/>
      </c>
      <c r="AW22" s="31" t="str">
        <f t="shared" ca="1" si="54"/>
        <v/>
      </c>
      <c r="AX22" s="31" t="str">
        <f t="shared" ca="1" si="54"/>
        <v/>
      </c>
      <c r="AY22" s="31" t="str">
        <f t="shared" ca="1" si="54"/>
        <v/>
      </c>
      <c r="AZ22" s="31" t="str">
        <f t="shared" ca="1" si="54"/>
        <v/>
      </c>
      <c r="BA22" s="31" t="str">
        <f t="shared" ca="1" si="54"/>
        <v/>
      </c>
      <c r="BB22" s="31" t="str">
        <f t="shared" ca="1" si="54"/>
        <v/>
      </c>
      <c r="BC22" s="31" t="str">
        <f t="shared" ca="1" si="54"/>
        <v/>
      </c>
      <c r="BD22" s="31" t="str">
        <f t="shared" ca="1" si="54"/>
        <v/>
      </c>
      <c r="BE22" s="31" t="str">
        <f t="shared" ca="1" si="55"/>
        <v/>
      </c>
      <c r="BF22" s="31" t="str">
        <f t="shared" ca="1" si="55"/>
        <v/>
      </c>
      <c r="BG22" s="31" t="str">
        <f t="shared" ca="1" si="55"/>
        <v/>
      </c>
      <c r="BH22" s="31" t="str">
        <f t="shared" ca="1" si="55"/>
        <v/>
      </c>
      <c r="BI22" s="31" t="str">
        <f t="shared" ca="1" si="55"/>
        <v/>
      </c>
      <c r="BJ22" s="31" t="str">
        <f t="shared" ca="1" si="55"/>
        <v/>
      </c>
      <c r="BK22" s="31" t="str">
        <f t="shared" ca="1" si="55"/>
        <v/>
      </c>
      <c r="BL22" s="31" t="str">
        <f t="shared" ca="1" si="55"/>
        <v/>
      </c>
      <c r="BM22" s="31" t="str">
        <f t="shared" ca="1" si="55"/>
        <v/>
      </c>
      <c r="BN22" s="31" t="str">
        <f t="shared" ca="1" si="55"/>
        <v/>
      </c>
      <c r="BO22" s="31" t="str">
        <f t="shared" ca="1" si="55"/>
        <v/>
      </c>
      <c r="BP22" s="31" t="str">
        <f t="shared" ca="1" si="55"/>
        <v/>
      </c>
      <c r="BQ22" s="31" t="str">
        <f t="shared" ca="1" si="55"/>
        <v/>
      </c>
      <c r="BR22" s="31" t="str">
        <f t="shared" ca="1" si="55"/>
        <v/>
      </c>
      <c r="BS22" s="31" t="str">
        <f t="shared" ca="1" si="56"/>
        <v/>
      </c>
      <c r="BT22" s="31" t="str">
        <f t="shared" ca="1" si="56"/>
        <v/>
      </c>
      <c r="BU22" s="31" t="str">
        <f t="shared" ca="1" si="56"/>
        <v/>
      </c>
      <c r="BV22" s="31" t="str">
        <f t="shared" ca="1" si="56"/>
        <v/>
      </c>
      <c r="BW22" s="31" t="str">
        <f t="shared" ca="1" si="56"/>
        <v/>
      </c>
      <c r="BX22" s="31" t="str">
        <f t="shared" ca="1" si="56"/>
        <v/>
      </c>
      <c r="BY22" s="31" t="str">
        <f t="shared" ca="1" si="56"/>
        <v/>
      </c>
      <c r="BZ22" s="31" t="str">
        <f t="shared" ca="1" si="56"/>
        <v/>
      </c>
      <c r="CA22" s="31" t="str">
        <f t="shared" ca="1" si="56"/>
        <v/>
      </c>
      <c r="CB22" s="31" t="str">
        <f t="shared" ca="1" si="56"/>
        <v/>
      </c>
      <c r="CC22" s="31" t="str">
        <f t="shared" ca="1" si="56"/>
        <v/>
      </c>
      <c r="CD22" s="31" t="str">
        <f t="shared" ca="1" si="56"/>
        <v/>
      </c>
      <c r="CE22" s="31" t="str">
        <f t="shared" ca="1" si="62"/>
        <v/>
      </c>
      <c r="CF22" s="31" t="str">
        <f t="shared" ca="1" si="62"/>
        <v/>
      </c>
      <c r="CG22" s="31" t="str">
        <f t="shared" ca="1" si="62"/>
        <v/>
      </c>
      <c r="CH22" s="31" t="str">
        <f t="shared" ca="1" si="62"/>
        <v/>
      </c>
      <c r="CI22" s="31" t="str">
        <f t="shared" ca="1" si="62"/>
        <v/>
      </c>
      <c r="CJ22" s="31" t="str">
        <f t="shared" ca="1" si="62"/>
        <v/>
      </c>
      <c r="CK22" s="31" t="str">
        <f t="shared" ca="1" si="62"/>
        <v/>
      </c>
      <c r="CL22" s="31" t="str">
        <f t="shared" ca="1" si="62"/>
        <v/>
      </c>
      <c r="CM22" s="31" t="str">
        <f t="shared" ca="1" si="62"/>
        <v/>
      </c>
      <c r="CN22" s="31" t="str">
        <f t="shared" ca="1" si="62"/>
        <v/>
      </c>
      <c r="CO22" s="31" t="str">
        <f t="shared" ca="1" si="62"/>
        <v/>
      </c>
      <c r="CP22" s="31" t="str">
        <f t="shared" ca="1" si="62"/>
        <v/>
      </c>
      <c r="CQ22" s="31" t="str">
        <f t="shared" ca="1" si="62"/>
        <v/>
      </c>
      <c r="CR22" s="31" t="str">
        <f t="shared" ca="1" si="62"/>
        <v/>
      </c>
      <c r="CS22" s="31" t="str">
        <f t="shared" ca="1" si="62"/>
        <v/>
      </c>
      <c r="CT22" s="31" t="str">
        <f t="shared" ca="1" si="62"/>
        <v/>
      </c>
      <c r="CU22" s="31" t="str">
        <f t="shared" ca="1" si="62"/>
        <v/>
      </c>
      <c r="CV22" s="31" t="str">
        <f t="shared" ca="1" si="62"/>
        <v/>
      </c>
      <c r="CW22" s="31" t="str">
        <f t="shared" ca="1" si="62"/>
        <v/>
      </c>
      <c r="CX22" s="31" t="str">
        <f t="shared" ca="1" si="62"/>
        <v/>
      </c>
      <c r="CY22" s="31" t="str">
        <f t="shared" ca="1" si="62"/>
        <v/>
      </c>
      <c r="CZ22" s="31" t="str">
        <f t="shared" ca="1" si="62"/>
        <v/>
      </c>
      <c r="DA22" s="31" t="str">
        <f t="shared" ca="1" si="58"/>
        <v/>
      </c>
      <c r="DB22" s="31" t="str">
        <f t="shared" ca="1" si="58"/>
        <v/>
      </c>
    </row>
    <row r="23" spans="1:106" s="2" customFormat="1" ht="63" x14ac:dyDescent="0.4">
      <c r="A23" s="52"/>
      <c r="B23" s="48" t="s">
        <v>56</v>
      </c>
      <c r="C23" s="47" t="s">
        <v>18</v>
      </c>
      <c r="D23" s="47" t="s">
        <v>50</v>
      </c>
      <c r="E23" s="49">
        <v>0.45</v>
      </c>
      <c r="F23" s="50">
        <f>F22+G22</f>
        <v>45930</v>
      </c>
      <c r="G23" s="51">
        <v>10</v>
      </c>
      <c r="H23" s="21"/>
      <c r="I23" s="31" t="str">
        <f t="shared" ca="1" si="59"/>
        <v/>
      </c>
      <c r="J23" s="31" t="str">
        <f t="shared" ca="1" si="52"/>
        <v/>
      </c>
      <c r="K23" s="31" t="str">
        <f t="shared" ca="1" si="52"/>
        <v/>
      </c>
      <c r="L23" s="31" t="str">
        <f t="shared" ca="1" si="52"/>
        <v/>
      </c>
      <c r="M23" s="31" t="str">
        <f t="shared" ca="1" si="52"/>
        <v/>
      </c>
      <c r="N23" s="31" t="str">
        <f t="shared" ca="1" si="52"/>
        <v/>
      </c>
      <c r="O23" s="31" t="str">
        <f t="shared" ca="1" si="52"/>
        <v/>
      </c>
      <c r="P23" s="31" t="str">
        <f t="shared" ca="1" si="52"/>
        <v/>
      </c>
      <c r="Q23" s="31" t="str">
        <f t="shared" ca="1" si="52"/>
        <v/>
      </c>
      <c r="R23" s="31" t="str">
        <f t="shared" ca="1" si="52"/>
        <v/>
      </c>
      <c r="S23" s="31" t="str">
        <f t="shared" ca="1" si="52"/>
        <v/>
      </c>
      <c r="T23" s="31" t="str">
        <f t="shared" ca="1" si="52"/>
        <v/>
      </c>
      <c r="U23" s="31" t="str">
        <f t="shared" ca="1" si="52"/>
        <v/>
      </c>
      <c r="V23" s="31" t="str">
        <f t="shared" ca="1" si="52"/>
        <v/>
      </c>
      <c r="W23" s="31" t="str">
        <f t="shared" ca="1" si="52"/>
        <v/>
      </c>
      <c r="X23" s="31" t="str">
        <f t="shared" ca="1" si="52"/>
        <v/>
      </c>
      <c r="Y23" s="31" t="str">
        <f t="shared" ca="1" si="53"/>
        <v/>
      </c>
      <c r="Z23" s="31" t="str">
        <f t="shared" ca="1" si="53"/>
        <v/>
      </c>
      <c r="AA23" s="31" t="str">
        <f t="shared" ca="1" si="53"/>
        <v/>
      </c>
      <c r="AB23" s="31" t="str">
        <f t="shared" ca="1" si="53"/>
        <v/>
      </c>
      <c r="AC23" s="31" t="str">
        <f t="shared" ca="1" si="53"/>
        <v/>
      </c>
      <c r="AD23" s="31" t="str">
        <f t="shared" ca="1" si="53"/>
        <v/>
      </c>
      <c r="AE23" s="31" t="str">
        <f t="shared" ca="1" si="60"/>
        <v/>
      </c>
      <c r="AF23" s="31" t="str">
        <f t="shared" ca="1" si="53"/>
        <v/>
      </c>
      <c r="AG23" s="31" t="str">
        <f t="shared" ca="1" si="53"/>
        <v/>
      </c>
      <c r="AH23" s="31" t="str">
        <f t="shared" ca="1" si="53"/>
        <v/>
      </c>
      <c r="AI23" s="31" t="str">
        <f t="shared" ca="1" si="53"/>
        <v/>
      </c>
      <c r="AJ23" s="31" t="str">
        <f t="shared" ca="1" si="53"/>
        <v/>
      </c>
      <c r="AK23" s="31" t="str">
        <f t="shared" ca="1" si="53"/>
        <v/>
      </c>
      <c r="AL23" s="31" t="str">
        <f t="shared" ca="1" si="53"/>
        <v/>
      </c>
      <c r="AM23" s="31" t="str">
        <f t="shared" ca="1" si="53"/>
        <v/>
      </c>
      <c r="AN23" s="31" t="str">
        <f t="shared" ca="1" si="53"/>
        <v/>
      </c>
      <c r="AO23" s="31" t="str">
        <f t="shared" ca="1" si="54"/>
        <v/>
      </c>
      <c r="AP23" s="31" t="str">
        <f t="shared" ca="1" si="54"/>
        <v/>
      </c>
      <c r="AQ23" s="31" t="str">
        <f t="shared" ca="1" si="54"/>
        <v/>
      </c>
      <c r="AR23" s="31" t="str">
        <f t="shared" ca="1" si="54"/>
        <v/>
      </c>
      <c r="AS23" s="31" t="str">
        <f t="shared" ca="1" si="54"/>
        <v/>
      </c>
      <c r="AT23" s="31" t="str">
        <f t="shared" ca="1" si="54"/>
        <v/>
      </c>
      <c r="AU23" s="31" t="str">
        <f t="shared" ca="1" si="54"/>
        <v/>
      </c>
      <c r="AV23" s="31" t="str">
        <f t="shared" ca="1" si="54"/>
        <v/>
      </c>
      <c r="AW23" s="31" t="str">
        <f t="shared" ca="1" si="54"/>
        <v/>
      </c>
      <c r="AX23" s="31" t="str">
        <f t="shared" ca="1" si="54"/>
        <v/>
      </c>
      <c r="AY23" s="31" t="str">
        <f t="shared" ca="1" si="54"/>
        <v/>
      </c>
      <c r="AZ23" s="31" t="str">
        <f t="shared" ca="1" si="54"/>
        <v/>
      </c>
      <c r="BA23" s="31" t="str">
        <f t="shared" ca="1" si="54"/>
        <v/>
      </c>
      <c r="BB23" s="31" t="str">
        <f t="shared" ca="1" si="54"/>
        <v/>
      </c>
      <c r="BC23" s="31" t="str">
        <f t="shared" ca="1" si="54"/>
        <v/>
      </c>
      <c r="BD23" s="31" t="str">
        <f t="shared" ca="1" si="54"/>
        <v/>
      </c>
      <c r="BE23" s="31" t="str">
        <f t="shared" ca="1" si="55"/>
        <v/>
      </c>
      <c r="BF23" s="31" t="str">
        <f t="shared" ca="1" si="55"/>
        <v/>
      </c>
      <c r="BG23" s="31" t="str">
        <f t="shared" ca="1" si="55"/>
        <v/>
      </c>
      <c r="BH23" s="31" t="str">
        <f t="shared" ca="1" si="55"/>
        <v/>
      </c>
      <c r="BI23" s="31" t="str">
        <f t="shared" ca="1" si="55"/>
        <v/>
      </c>
      <c r="BJ23" s="31" t="str">
        <f t="shared" ca="1" si="55"/>
        <v/>
      </c>
      <c r="BK23" s="31" t="str">
        <f t="shared" ca="1" si="55"/>
        <v/>
      </c>
      <c r="BL23" s="31" t="str">
        <f t="shared" ca="1" si="55"/>
        <v/>
      </c>
      <c r="BM23" s="31" t="str">
        <f t="shared" ca="1" si="55"/>
        <v/>
      </c>
      <c r="BN23" s="31" t="str">
        <f t="shared" ca="1" si="55"/>
        <v/>
      </c>
      <c r="BO23" s="31" t="str">
        <f t="shared" ca="1" si="55"/>
        <v/>
      </c>
      <c r="BP23" s="31" t="str">
        <f t="shared" ca="1" si="55"/>
        <v/>
      </c>
      <c r="BQ23" s="31" t="str">
        <f t="shared" ca="1" si="55"/>
        <v/>
      </c>
      <c r="BR23" s="31" t="str">
        <f t="shared" ca="1" si="55"/>
        <v/>
      </c>
      <c r="BS23" s="31" t="str">
        <f t="shared" ca="1" si="56"/>
        <v/>
      </c>
      <c r="BT23" s="31" t="str">
        <f t="shared" ca="1" si="56"/>
        <v/>
      </c>
      <c r="BU23" s="31" t="str">
        <f t="shared" ca="1" si="56"/>
        <v/>
      </c>
      <c r="BV23" s="31" t="str">
        <f t="shared" ca="1" si="56"/>
        <v/>
      </c>
      <c r="BW23" s="31" t="str">
        <f t="shared" ca="1" si="56"/>
        <v/>
      </c>
      <c r="BX23" s="31" t="str">
        <f t="shared" ca="1" si="56"/>
        <v/>
      </c>
      <c r="BY23" s="31" t="str">
        <f t="shared" ca="1" si="56"/>
        <v/>
      </c>
      <c r="BZ23" s="31" t="str">
        <f t="shared" ca="1" si="56"/>
        <v/>
      </c>
      <c r="CA23" s="31" t="str">
        <f t="shared" ca="1" si="56"/>
        <v/>
      </c>
      <c r="CB23" s="31" t="str">
        <f t="shared" ca="1" si="56"/>
        <v/>
      </c>
      <c r="CC23" s="31" t="str">
        <f t="shared" ca="1" si="56"/>
        <v/>
      </c>
      <c r="CD23" s="31" t="str">
        <f t="shared" ca="1" si="56"/>
        <v/>
      </c>
      <c r="CE23" s="31" t="str">
        <f t="shared" ca="1" si="62"/>
        <v/>
      </c>
      <c r="CF23" s="31" t="str">
        <f t="shared" ca="1" si="62"/>
        <v/>
      </c>
      <c r="CG23" s="31" t="str">
        <f t="shared" ca="1" si="62"/>
        <v/>
      </c>
      <c r="CH23" s="31" t="str">
        <f t="shared" ca="1" si="62"/>
        <v/>
      </c>
      <c r="CI23" s="31" t="str">
        <f t="shared" ca="1" si="62"/>
        <v/>
      </c>
      <c r="CJ23" s="31" t="str">
        <f t="shared" ca="1" si="62"/>
        <v/>
      </c>
      <c r="CK23" s="31" t="str">
        <f t="shared" ca="1" si="62"/>
        <v/>
      </c>
      <c r="CL23" s="31" t="str">
        <f t="shared" ca="1" si="62"/>
        <v/>
      </c>
      <c r="CM23" s="31" t="str">
        <f t="shared" ca="1" si="62"/>
        <v/>
      </c>
      <c r="CN23" s="31" t="str">
        <f t="shared" ca="1" si="62"/>
        <v/>
      </c>
      <c r="CO23" s="31" t="str">
        <f t="shared" ca="1" si="62"/>
        <v/>
      </c>
      <c r="CP23" s="31" t="str">
        <f t="shared" ca="1" si="62"/>
        <v/>
      </c>
      <c r="CQ23" s="31" t="str">
        <f t="shared" ca="1" si="62"/>
        <v/>
      </c>
      <c r="CR23" s="31" t="str">
        <f t="shared" ca="1" si="62"/>
        <v/>
      </c>
      <c r="CS23" s="31" t="str">
        <f t="shared" ca="1" si="62"/>
        <v/>
      </c>
      <c r="CT23" s="31" t="str">
        <f t="shared" ca="1" si="62"/>
        <v/>
      </c>
      <c r="CU23" s="31" t="str">
        <f t="shared" ca="1" si="62"/>
        <v/>
      </c>
      <c r="CV23" s="31" t="str">
        <f t="shared" ca="1" si="62"/>
        <v/>
      </c>
      <c r="CW23" s="31" t="str">
        <f t="shared" ca="1" si="62"/>
        <v/>
      </c>
      <c r="CX23" s="31" t="str">
        <f t="shared" ca="1" si="62"/>
        <v/>
      </c>
      <c r="CY23" s="31" t="str">
        <f t="shared" ca="1" si="62"/>
        <v/>
      </c>
      <c r="CZ23" s="31" t="str">
        <f t="shared" ca="1" si="62"/>
        <v/>
      </c>
      <c r="DA23" s="31" t="str">
        <f t="shared" ca="1" si="58"/>
        <v/>
      </c>
      <c r="DB23" s="31" t="str">
        <f t="shared" ca="1" si="58"/>
        <v/>
      </c>
    </row>
    <row r="24" spans="1:106" s="2" customFormat="1" ht="63" x14ac:dyDescent="0.4">
      <c r="A24" s="52"/>
      <c r="B24" s="48" t="s">
        <v>57</v>
      </c>
      <c r="C24" s="47" t="s">
        <v>20</v>
      </c>
      <c r="D24" s="47" t="s">
        <v>50</v>
      </c>
      <c r="E24" s="49">
        <v>1</v>
      </c>
      <c r="F24" s="50">
        <f t="shared" ref="F24:F26" si="63">F23+G23</f>
        <v>45940</v>
      </c>
      <c r="G24" s="51">
        <v>4</v>
      </c>
      <c r="H24" s="21"/>
      <c r="I24" s="31" t="str">
        <f t="shared" ca="1" si="59"/>
        <v/>
      </c>
      <c r="J24" s="31" t="str">
        <f t="shared" ca="1" si="52"/>
        <v/>
      </c>
      <c r="K24" s="31" t="str">
        <f t="shared" ca="1" si="52"/>
        <v/>
      </c>
      <c r="L24" s="31" t="str">
        <f t="shared" ca="1" si="52"/>
        <v/>
      </c>
      <c r="M24" s="31" t="str">
        <f t="shared" ca="1" si="52"/>
        <v/>
      </c>
      <c r="N24" s="31" t="str">
        <f t="shared" ca="1" si="52"/>
        <v/>
      </c>
      <c r="O24" s="31" t="str">
        <f t="shared" ca="1" si="52"/>
        <v/>
      </c>
      <c r="P24" s="31" t="str">
        <f t="shared" ca="1" si="52"/>
        <v/>
      </c>
      <c r="Q24" s="31" t="str">
        <f t="shared" ca="1" si="52"/>
        <v/>
      </c>
      <c r="R24" s="31" t="str">
        <f t="shared" ca="1" si="52"/>
        <v/>
      </c>
      <c r="S24" s="31" t="str">
        <f t="shared" ca="1" si="52"/>
        <v/>
      </c>
      <c r="T24" s="31" t="str">
        <f t="shared" ca="1" si="52"/>
        <v/>
      </c>
      <c r="U24" s="31" t="str">
        <f t="shared" ca="1" si="52"/>
        <v/>
      </c>
      <c r="V24" s="31" t="str">
        <f t="shared" ca="1" si="52"/>
        <v/>
      </c>
      <c r="W24" s="31" t="str">
        <f t="shared" ca="1" si="52"/>
        <v/>
      </c>
      <c r="X24" s="31" t="str">
        <f t="shared" ca="1" si="52"/>
        <v/>
      </c>
      <c r="Y24" s="31" t="str">
        <f t="shared" ca="1" si="53"/>
        <v/>
      </c>
      <c r="Z24" s="31" t="str">
        <f t="shared" ca="1" si="53"/>
        <v/>
      </c>
      <c r="AA24" s="31" t="str">
        <f t="shared" ca="1" si="53"/>
        <v/>
      </c>
      <c r="AB24" s="31" t="str">
        <f t="shared" ca="1" si="53"/>
        <v/>
      </c>
      <c r="AC24" s="31" t="str">
        <f t="shared" ca="1" si="53"/>
        <v/>
      </c>
      <c r="AD24" s="31" t="str">
        <f t="shared" ca="1" si="53"/>
        <v/>
      </c>
      <c r="AE24" s="31" t="str">
        <f t="shared" ca="1" si="60"/>
        <v/>
      </c>
      <c r="AF24" s="31" t="str">
        <f t="shared" ca="1" si="53"/>
        <v/>
      </c>
      <c r="AG24" s="31" t="str">
        <f t="shared" ca="1" si="53"/>
        <v/>
      </c>
      <c r="AH24" s="31" t="str">
        <f t="shared" ca="1" si="53"/>
        <v/>
      </c>
      <c r="AI24" s="31" t="str">
        <f t="shared" ca="1" si="53"/>
        <v/>
      </c>
      <c r="AJ24" s="31" t="str">
        <f t="shared" ca="1" si="53"/>
        <v/>
      </c>
      <c r="AK24" s="31" t="str">
        <f t="shared" ca="1" si="53"/>
        <v/>
      </c>
      <c r="AL24" s="31" t="str">
        <f t="shared" ca="1" si="53"/>
        <v/>
      </c>
      <c r="AM24" s="31" t="str">
        <f t="shared" ca="1" si="53"/>
        <v/>
      </c>
      <c r="AN24" s="31" t="str">
        <f t="shared" ref="AN24:BC33" ca="1" si="64">IF(AND($C24="Objetivo",AN$5&gt;=$F24,AN$5&lt;=$F24+$G24-1),2,IF(AND($C24="Hito",AN$5&gt;=$F24,AN$5&lt;=$F24+$G24-1),1,""))</f>
        <v/>
      </c>
      <c r="AO24" s="31" t="str">
        <f t="shared" ca="1" si="54"/>
        <v/>
      </c>
      <c r="AP24" s="31" t="str">
        <f t="shared" ca="1" si="54"/>
        <v/>
      </c>
      <c r="AQ24" s="31" t="str">
        <f t="shared" ca="1" si="54"/>
        <v/>
      </c>
      <c r="AR24" s="31" t="str">
        <f t="shared" ca="1" si="54"/>
        <v/>
      </c>
      <c r="AS24" s="31" t="str">
        <f t="shared" ca="1" si="54"/>
        <v/>
      </c>
      <c r="AT24" s="31" t="str">
        <f t="shared" ca="1" si="54"/>
        <v/>
      </c>
      <c r="AU24" s="31" t="str">
        <f t="shared" ca="1" si="54"/>
        <v/>
      </c>
      <c r="AV24" s="31" t="str">
        <f t="shared" ca="1" si="54"/>
        <v/>
      </c>
      <c r="AW24" s="31" t="str">
        <f t="shared" ca="1" si="54"/>
        <v/>
      </c>
      <c r="AX24" s="31" t="str">
        <f t="shared" ca="1" si="54"/>
        <v/>
      </c>
      <c r="AY24" s="31" t="str">
        <f t="shared" ca="1" si="54"/>
        <v/>
      </c>
      <c r="AZ24" s="31" t="str">
        <f t="shared" ca="1" si="54"/>
        <v/>
      </c>
      <c r="BA24" s="31" t="str">
        <f t="shared" ca="1" si="54"/>
        <v/>
      </c>
      <c r="BB24" s="31" t="str">
        <f t="shared" ca="1" si="54"/>
        <v/>
      </c>
      <c r="BC24" s="31" t="str">
        <f t="shared" ca="1" si="54"/>
        <v/>
      </c>
      <c r="BD24" s="31" t="str">
        <f t="shared" ref="BD24:BS33" ca="1" si="65">IF(AND($C24="Objetivo",BD$5&gt;=$F24,BD$5&lt;=$F24+$G24-1),2,IF(AND($C24="Hito",BD$5&gt;=$F24,BD$5&lt;=$F24+$G24-1),1,""))</f>
        <v/>
      </c>
      <c r="BE24" s="31" t="str">
        <f t="shared" ca="1" si="55"/>
        <v/>
      </c>
      <c r="BF24" s="31" t="str">
        <f t="shared" ca="1" si="55"/>
        <v/>
      </c>
      <c r="BG24" s="31" t="str">
        <f t="shared" ca="1" si="55"/>
        <v/>
      </c>
      <c r="BH24" s="31" t="str">
        <f t="shared" ca="1" si="55"/>
        <v/>
      </c>
      <c r="BI24" s="31" t="str">
        <f t="shared" ca="1" si="55"/>
        <v/>
      </c>
      <c r="BJ24" s="31" t="str">
        <f t="shared" ca="1" si="55"/>
        <v/>
      </c>
      <c r="BK24" s="31" t="str">
        <f t="shared" ca="1" si="55"/>
        <v/>
      </c>
      <c r="BL24" s="31" t="str">
        <f t="shared" ca="1" si="55"/>
        <v/>
      </c>
      <c r="BM24" s="31" t="str">
        <f t="shared" ca="1" si="55"/>
        <v/>
      </c>
      <c r="BN24" s="31" t="str">
        <f t="shared" ca="1" si="55"/>
        <v/>
      </c>
      <c r="BO24" s="31" t="str">
        <f t="shared" ca="1" si="55"/>
        <v/>
      </c>
      <c r="BP24" s="31" t="str">
        <f t="shared" ca="1" si="55"/>
        <v/>
      </c>
      <c r="BQ24" s="31" t="str">
        <f t="shared" ca="1" si="55"/>
        <v/>
      </c>
      <c r="BR24" s="31" t="str">
        <f t="shared" ca="1" si="55"/>
        <v/>
      </c>
      <c r="BS24" s="31" t="str">
        <f t="shared" ca="1" si="56"/>
        <v/>
      </c>
      <c r="BT24" s="31" t="str">
        <f t="shared" ca="1" si="56"/>
        <v/>
      </c>
      <c r="BU24" s="31" t="str">
        <f t="shared" ca="1" si="56"/>
        <v/>
      </c>
      <c r="BV24" s="31" t="str">
        <f t="shared" ca="1" si="56"/>
        <v/>
      </c>
      <c r="BW24" s="31" t="str">
        <f t="shared" ca="1" si="56"/>
        <v/>
      </c>
      <c r="BX24" s="31" t="str">
        <f t="shared" ca="1" si="56"/>
        <v/>
      </c>
      <c r="BY24" s="31" t="str">
        <f t="shared" ca="1" si="56"/>
        <v/>
      </c>
      <c r="BZ24" s="31" t="str">
        <f t="shared" ca="1" si="56"/>
        <v/>
      </c>
      <c r="CA24" s="31" t="str">
        <f t="shared" ca="1" si="56"/>
        <v/>
      </c>
      <c r="CB24" s="31" t="str">
        <f t="shared" ca="1" si="56"/>
        <v/>
      </c>
      <c r="CC24" s="31" t="str">
        <f t="shared" ca="1" si="56"/>
        <v/>
      </c>
      <c r="CD24" s="31" t="str">
        <f t="shared" ca="1" si="56"/>
        <v/>
      </c>
      <c r="CE24" s="31" t="str">
        <f t="shared" ca="1" si="62"/>
        <v/>
      </c>
      <c r="CF24" s="31" t="str">
        <f t="shared" ca="1" si="62"/>
        <v/>
      </c>
      <c r="CG24" s="31" t="str">
        <f t="shared" ca="1" si="62"/>
        <v/>
      </c>
      <c r="CH24" s="31" t="str">
        <f t="shared" ca="1" si="62"/>
        <v/>
      </c>
      <c r="CI24" s="31" t="str">
        <f t="shared" ca="1" si="62"/>
        <v/>
      </c>
      <c r="CJ24" s="31" t="str">
        <f t="shared" ca="1" si="62"/>
        <v/>
      </c>
      <c r="CK24" s="31" t="str">
        <f t="shared" ca="1" si="62"/>
        <v/>
      </c>
      <c r="CL24" s="31" t="str">
        <f t="shared" ca="1" si="62"/>
        <v/>
      </c>
      <c r="CM24" s="31" t="str">
        <f t="shared" ca="1" si="62"/>
        <v/>
      </c>
      <c r="CN24" s="31" t="str">
        <f t="shared" ca="1" si="62"/>
        <v/>
      </c>
      <c r="CO24" s="31" t="str">
        <f t="shared" ca="1" si="62"/>
        <v/>
      </c>
      <c r="CP24" s="31" t="str">
        <f t="shared" ca="1" si="62"/>
        <v/>
      </c>
      <c r="CQ24" s="31" t="str">
        <f t="shared" ca="1" si="62"/>
        <v/>
      </c>
      <c r="CR24" s="31" t="str">
        <f t="shared" ca="1" si="62"/>
        <v/>
      </c>
      <c r="CS24" s="31" t="str">
        <f t="shared" ca="1" si="62"/>
        <v/>
      </c>
      <c r="CT24" s="31" t="str">
        <f t="shared" ca="1" si="62"/>
        <v/>
      </c>
      <c r="CU24" s="31" t="str">
        <f t="shared" ca="1" si="62"/>
        <v/>
      </c>
      <c r="CV24" s="31" t="str">
        <f t="shared" ca="1" si="62"/>
        <v/>
      </c>
      <c r="CW24" s="31" t="str">
        <f t="shared" ca="1" si="62"/>
        <v/>
      </c>
      <c r="CX24" s="31" t="str">
        <f t="shared" ca="1" si="62"/>
        <v/>
      </c>
      <c r="CY24" s="31" t="str">
        <f t="shared" ca="1" si="62"/>
        <v/>
      </c>
      <c r="CZ24" s="31" t="str">
        <f t="shared" ca="1" si="62"/>
        <v/>
      </c>
      <c r="DA24" s="31" t="str">
        <f t="shared" ca="1" si="58"/>
        <v/>
      </c>
      <c r="DB24" s="31" t="str">
        <f t="shared" ca="1" si="58"/>
        <v/>
      </c>
    </row>
    <row r="25" spans="1:106" s="2" customFormat="1" ht="63" x14ac:dyDescent="0.4">
      <c r="A25" s="52"/>
      <c r="B25" s="48" t="s">
        <v>58</v>
      </c>
      <c r="C25" s="47" t="s">
        <v>15</v>
      </c>
      <c r="D25" s="47" t="s">
        <v>59</v>
      </c>
      <c r="E25" s="49">
        <v>0.3</v>
      </c>
      <c r="F25" s="50">
        <f t="shared" si="63"/>
        <v>45944</v>
      </c>
      <c r="G25" s="51">
        <v>3</v>
      </c>
      <c r="H25" s="21"/>
      <c r="I25" s="31" t="str">
        <f t="shared" ca="1" si="59"/>
        <v/>
      </c>
      <c r="J25" s="31" t="str">
        <f t="shared" ca="1" si="59"/>
        <v/>
      </c>
      <c r="K25" s="31" t="str">
        <f t="shared" ca="1" si="59"/>
        <v/>
      </c>
      <c r="L25" s="31" t="str">
        <f t="shared" ca="1" si="59"/>
        <v/>
      </c>
      <c r="M25" s="31" t="str">
        <f t="shared" ca="1" si="59"/>
        <v/>
      </c>
      <c r="N25" s="31" t="str">
        <f t="shared" ca="1" si="59"/>
        <v/>
      </c>
      <c r="O25" s="31" t="str">
        <f t="shared" ca="1" si="59"/>
        <v/>
      </c>
      <c r="P25" s="31" t="str">
        <f t="shared" ca="1" si="59"/>
        <v/>
      </c>
      <c r="Q25" s="31" t="str">
        <f t="shared" ca="1" si="59"/>
        <v/>
      </c>
      <c r="R25" s="31" t="str">
        <f t="shared" ca="1" si="59"/>
        <v/>
      </c>
      <c r="S25" s="31" t="str">
        <f t="shared" ca="1" si="59"/>
        <v/>
      </c>
      <c r="T25" s="31" t="str">
        <f t="shared" ca="1" si="59"/>
        <v/>
      </c>
      <c r="U25" s="31" t="str">
        <f t="shared" ca="1" si="59"/>
        <v/>
      </c>
      <c r="V25" s="31" t="str">
        <f t="shared" ca="1" si="59"/>
        <v/>
      </c>
      <c r="W25" s="31" t="str">
        <f t="shared" ca="1" si="59"/>
        <v/>
      </c>
      <c r="X25" s="31" t="str">
        <f t="shared" ca="1" si="59"/>
        <v/>
      </c>
      <c r="Y25" s="31" t="str">
        <f t="shared" ref="Y25:AM33" ca="1" si="66">IF(AND($C25="Objetivo",Y$5&gt;=$F25,Y$5&lt;=$F25+$G25-1),2,IF(AND($C25="Hito",Y$5&gt;=$F25,Y$5&lt;=$F25+$G25-1),1,""))</f>
        <v/>
      </c>
      <c r="Z25" s="31" t="str">
        <f t="shared" ca="1" si="66"/>
        <v/>
      </c>
      <c r="AA25" s="31" t="str">
        <f t="shared" ca="1" si="66"/>
        <v/>
      </c>
      <c r="AB25" s="31" t="str">
        <f t="shared" ca="1" si="66"/>
        <v/>
      </c>
      <c r="AC25" s="31" t="str">
        <f t="shared" ca="1" si="66"/>
        <v/>
      </c>
      <c r="AD25" s="31" t="str">
        <f t="shared" ca="1" si="66"/>
        <v/>
      </c>
      <c r="AE25" s="31" t="str">
        <f t="shared" ca="1" si="60"/>
        <v/>
      </c>
      <c r="AF25" s="31" t="str">
        <f t="shared" ca="1" si="66"/>
        <v/>
      </c>
      <c r="AG25" s="31" t="str">
        <f t="shared" ca="1" si="66"/>
        <v/>
      </c>
      <c r="AH25" s="31" t="str">
        <f t="shared" ca="1" si="66"/>
        <v/>
      </c>
      <c r="AI25" s="31" t="str">
        <f t="shared" ca="1" si="66"/>
        <v/>
      </c>
      <c r="AJ25" s="31" t="str">
        <f t="shared" ca="1" si="66"/>
        <v/>
      </c>
      <c r="AK25" s="31" t="str">
        <f t="shared" ca="1" si="66"/>
        <v/>
      </c>
      <c r="AL25" s="31" t="str">
        <f t="shared" ca="1" si="66"/>
        <v/>
      </c>
      <c r="AM25" s="31" t="str">
        <f t="shared" ca="1" si="66"/>
        <v/>
      </c>
      <c r="AN25" s="31" t="str">
        <f t="shared" ca="1" si="64"/>
        <v/>
      </c>
      <c r="AO25" s="31" t="str">
        <f t="shared" ca="1" si="64"/>
        <v/>
      </c>
      <c r="AP25" s="31" t="str">
        <f t="shared" ca="1" si="64"/>
        <v/>
      </c>
      <c r="AQ25" s="31" t="str">
        <f t="shared" ca="1" si="64"/>
        <v/>
      </c>
      <c r="AR25" s="31" t="str">
        <f t="shared" ca="1" si="64"/>
        <v/>
      </c>
      <c r="AS25" s="31" t="str">
        <f t="shared" ca="1" si="64"/>
        <v/>
      </c>
      <c r="AT25" s="31" t="str">
        <f t="shared" ca="1" si="64"/>
        <v/>
      </c>
      <c r="AU25" s="31" t="str">
        <f t="shared" ca="1" si="64"/>
        <v/>
      </c>
      <c r="AV25" s="31" t="str">
        <f t="shared" ca="1" si="64"/>
        <v/>
      </c>
      <c r="AW25" s="31" t="str">
        <f t="shared" ca="1" si="64"/>
        <v/>
      </c>
      <c r="AX25" s="31" t="str">
        <f t="shared" ca="1" si="64"/>
        <v/>
      </c>
      <c r="AY25" s="31" t="str">
        <f t="shared" ca="1" si="64"/>
        <v/>
      </c>
      <c r="AZ25" s="31" t="str">
        <f t="shared" ca="1" si="64"/>
        <v/>
      </c>
      <c r="BA25" s="31" t="str">
        <f t="shared" ca="1" si="64"/>
        <v/>
      </c>
      <c r="BB25" s="31" t="str">
        <f t="shared" ca="1" si="64"/>
        <v/>
      </c>
      <c r="BC25" s="31" t="str">
        <f t="shared" ca="1" si="64"/>
        <v/>
      </c>
      <c r="BD25" s="31" t="str">
        <f t="shared" ca="1" si="65"/>
        <v/>
      </c>
      <c r="BE25" s="31" t="str">
        <f t="shared" ca="1" si="65"/>
        <v/>
      </c>
      <c r="BF25" s="31" t="str">
        <f t="shared" ca="1" si="65"/>
        <v/>
      </c>
      <c r="BG25" s="31" t="str">
        <f t="shared" ca="1" si="65"/>
        <v/>
      </c>
      <c r="BH25" s="31" t="str">
        <f t="shared" ca="1" si="65"/>
        <v/>
      </c>
      <c r="BI25" s="31" t="str">
        <f t="shared" ca="1" si="65"/>
        <v/>
      </c>
      <c r="BJ25" s="31" t="str">
        <f t="shared" ca="1" si="65"/>
        <v/>
      </c>
      <c r="BK25" s="31" t="str">
        <f t="shared" ca="1" si="65"/>
        <v/>
      </c>
      <c r="BL25" s="31" t="str">
        <f t="shared" ca="1" si="65"/>
        <v/>
      </c>
      <c r="BM25" s="31" t="str">
        <f t="shared" ca="1" si="65"/>
        <v/>
      </c>
      <c r="BN25" s="31" t="str">
        <f t="shared" ca="1" si="65"/>
        <v/>
      </c>
      <c r="BO25" s="31" t="str">
        <f t="shared" ca="1" si="65"/>
        <v/>
      </c>
      <c r="BP25" s="31" t="str">
        <f t="shared" ca="1" si="65"/>
        <v/>
      </c>
      <c r="BQ25" s="31" t="str">
        <f t="shared" ca="1" si="65"/>
        <v/>
      </c>
      <c r="BR25" s="31" t="str">
        <f t="shared" ca="1" si="65"/>
        <v/>
      </c>
      <c r="BS25" s="31" t="str">
        <f t="shared" ca="1" si="65"/>
        <v/>
      </c>
      <c r="BT25" s="31" t="str">
        <f t="shared" ref="BS25:CH33" ca="1" si="67">IF(AND($C25="Objetivo",BT$5&gt;=$F25,BT$5&lt;=$F25+$G25-1),2,IF(AND($C25="Hito",BT$5&gt;=$F25,BT$5&lt;=$F25+$G25-1),1,""))</f>
        <v/>
      </c>
      <c r="BU25" s="31" t="str">
        <f t="shared" ca="1" si="67"/>
        <v/>
      </c>
      <c r="BV25" s="31" t="str">
        <f t="shared" ca="1" si="67"/>
        <v/>
      </c>
      <c r="BW25" s="31" t="str">
        <f t="shared" ca="1" si="67"/>
        <v/>
      </c>
      <c r="BX25" s="31" t="str">
        <f t="shared" ca="1" si="67"/>
        <v/>
      </c>
      <c r="BY25" s="31">
        <f t="shared" ca="1" si="67"/>
        <v>2</v>
      </c>
      <c r="BZ25" s="31">
        <f t="shared" ca="1" si="67"/>
        <v>2</v>
      </c>
      <c r="CA25" s="31">
        <f t="shared" ca="1" si="67"/>
        <v>2</v>
      </c>
      <c r="CB25" s="31" t="str">
        <f t="shared" ca="1" si="67"/>
        <v/>
      </c>
      <c r="CC25" s="31" t="str">
        <f t="shared" ca="1" si="67"/>
        <v/>
      </c>
      <c r="CD25" s="31" t="str">
        <f t="shared" ca="1" si="67"/>
        <v/>
      </c>
      <c r="CE25" s="31" t="str">
        <f t="shared" ca="1" si="67"/>
        <v/>
      </c>
      <c r="CF25" s="31" t="str">
        <f t="shared" ca="1" si="67"/>
        <v/>
      </c>
      <c r="CG25" s="31" t="str">
        <f t="shared" ca="1" si="67"/>
        <v/>
      </c>
      <c r="CH25" s="31" t="str">
        <f t="shared" ca="1" si="67"/>
        <v/>
      </c>
      <c r="CI25" s="31" t="str">
        <f t="shared" ca="1" si="62"/>
        <v/>
      </c>
      <c r="CJ25" s="31" t="str">
        <f t="shared" ca="1" si="62"/>
        <v/>
      </c>
      <c r="CK25" s="31" t="str">
        <f t="shared" ca="1" si="62"/>
        <v/>
      </c>
      <c r="CL25" s="31" t="str">
        <f t="shared" ca="1" si="62"/>
        <v/>
      </c>
      <c r="CM25" s="31" t="str">
        <f t="shared" ca="1" si="62"/>
        <v/>
      </c>
      <c r="CN25" s="31" t="str">
        <f t="shared" ca="1" si="62"/>
        <v/>
      </c>
      <c r="CO25" s="31" t="str">
        <f t="shared" ca="1" si="62"/>
        <v/>
      </c>
      <c r="CP25" s="31" t="str">
        <f t="shared" ca="1" si="62"/>
        <v/>
      </c>
      <c r="CQ25" s="31" t="str">
        <f t="shared" ca="1" si="62"/>
        <v/>
      </c>
      <c r="CR25" s="31" t="str">
        <f t="shared" ca="1" si="62"/>
        <v/>
      </c>
      <c r="CS25" s="31" t="str">
        <f t="shared" ca="1" si="62"/>
        <v/>
      </c>
      <c r="CT25" s="31" t="str">
        <f t="shared" ca="1" si="62"/>
        <v/>
      </c>
      <c r="CU25" s="31" t="str">
        <f t="shared" ca="1" si="62"/>
        <v/>
      </c>
      <c r="CV25" s="31" t="str">
        <f t="shared" ca="1" si="62"/>
        <v/>
      </c>
      <c r="CW25" s="31" t="str">
        <f t="shared" ca="1" si="62"/>
        <v/>
      </c>
      <c r="CX25" s="31" t="str">
        <f t="shared" ca="1" si="62"/>
        <v/>
      </c>
      <c r="CY25" s="31" t="str">
        <f t="shared" ca="1" si="62"/>
        <v/>
      </c>
      <c r="CZ25" s="31" t="str">
        <f t="shared" ca="1" si="62"/>
        <v/>
      </c>
      <c r="DA25" s="31" t="str">
        <f t="shared" ref="DA25:DB33" ca="1" si="68">IF(AND($C25="Objetivo",DA$5&gt;=$F25,DA$5&lt;=$F25+$G25-1),2,IF(AND($C25="Hito",DA$5&gt;=$F25,DA$5&lt;=$F25+$G25-1),1,""))</f>
        <v/>
      </c>
      <c r="DB25" s="31" t="str">
        <f t="shared" ca="1" si="68"/>
        <v/>
      </c>
    </row>
    <row r="26" spans="1:106" s="2" customFormat="1" ht="63" x14ac:dyDescent="0.4">
      <c r="A26" s="52"/>
      <c r="B26" s="48" t="s">
        <v>60</v>
      </c>
      <c r="C26" s="47" t="s">
        <v>17</v>
      </c>
      <c r="D26" s="47" t="s">
        <v>52</v>
      </c>
      <c r="E26" s="49"/>
      <c r="F26" s="50">
        <f t="shared" si="63"/>
        <v>45947</v>
      </c>
      <c r="G26" s="51">
        <v>6</v>
      </c>
      <c r="H26" s="21"/>
      <c r="I26" s="31" t="str">
        <f t="shared" ca="1" si="59"/>
        <v/>
      </c>
      <c r="J26" s="31" t="str">
        <f t="shared" ca="1" si="59"/>
        <v/>
      </c>
      <c r="K26" s="31" t="str">
        <f t="shared" ca="1" si="59"/>
        <v/>
      </c>
      <c r="L26" s="31" t="str">
        <f t="shared" ca="1" si="59"/>
        <v/>
      </c>
      <c r="M26" s="31" t="str">
        <f t="shared" ca="1" si="59"/>
        <v/>
      </c>
      <c r="N26" s="31" t="str">
        <f t="shared" ca="1" si="59"/>
        <v/>
      </c>
      <c r="O26" s="31" t="str">
        <f t="shared" ca="1" si="59"/>
        <v/>
      </c>
      <c r="P26" s="31" t="str">
        <f t="shared" ca="1" si="59"/>
        <v/>
      </c>
      <c r="Q26" s="31" t="str">
        <f t="shared" ca="1" si="59"/>
        <v/>
      </c>
      <c r="R26" s="31" t="str">
        <f t="shared" ca="1" si="59"/>
        <v/>
      </c>
      <c r="S26" s="31" t="str">
        <f t="shared" ca="1" si="59"/>
        <v/>
      </c>
      <c r="T26" s="31" t="str">
        <f t="shared" ca="1" si="59"/>
        <v/>
      </c>
      <c r="U26" s="31" t="str">
        <f t="shared" ca="1" si="59"/>
        <v/>
      </c>
      <c r="V26" s="31" t="str">
        <f t="shared" ca="1" si="59"/>
        <v/>
      </c>
      <c r="W26" s="31" t="str">
        <f t="shared" ca="1" si="59"/>
        <v/>
      </c>
      <c r="X26" s="31" t="str">
        <f t="shared" ca="1" si="59"/>
        <v/>
      </c>
      <c r="Y26" s="31" t="str">
        <f t="shared" ca="1" si="66"/>
        <v/>
      </c>
      <c r="Z26" s="31" t="str">
        <f t="shared" ca="1" si="66"/>
        <v/>
      </c>
      <c r="AA26" s="31" t="str">
        <f t="shared" ca="1" si="66"/>
        <v/>
      </c>
      <c r="AB26" s="31" t="str">
        <f t="shared" ca="1" si="66"/>
        <v/>
      </c>
      <c r="AC26" s="31" t="str">
        <f t="shared" ca="1" si="66"/>
        <v/>
      </c>
      <c r="AD26" s="31" t="str">
        <f t="shared" ca="1" si="66"/>
        <v/>
      </c>
      <c r="AE26" s="31" t="str">
        <f t="shared" ca="1" si="60"/>
        <v/>
      </c>
      <c r="AF26" s="31" t="str">
        <f t="shared" ca="1" si="66"/>
        <v/>
      </c>
      <c r="AG26" s="31" t="str">
        <f t="shared" ca="1" si="66"/>
        <v/>
      </c>
      <c r="AH26" s="31" t="str">
        <f t="shared" ca="1" si="66"/>
        <v/>
      </c>
      <c r="AI26" s="31" t="str">
        <f t="shared" ca="1" si="66"/>
        <v/>
      </c>
      <c r="AJ26" s="31" t="str">
        <f t="shared" ca="1" si="66"/>
        <v/>
      </c>
      <c r="AK26" s="31" t="str">
        <f t="shared" ca="1" si="66"/>
        <v/>
      </c>
      <c r="AL26" s="31" t="str">
        <f t="shared" ca="1" si="66"/>
        <v/>
      </c>
      <c r="AM26" s="31" t="str">
        <f t="shared" ca="1" si="66"/>
        <v/>
      </c>
      <c r="AN26" s="31" t="str">
        <f t="shared" ca="1" si="64"/>
        <v/>
      </c>
      <c r="AO26" s="31" t="str">
        <f t="shared" ca="1" si="64"/>
        <v/>
      </c>
      <c r="AP26" s="31" t="str">
        <f t="shared" ca="1" si="64"/>
        <v/>
      </c>
      <c r="AQ26" s="31" t="str">
        <f t="shared" ca="1" si="64"/>
        <v/>
      </c>
      <c r="AR26" s="31" t="str">
        <f t="shared" ca="1" si="64"/>
        <v/>
      </c>
      <c r="AS26" s="31" t="str">
        <f t="shared" ca="1" si="64"/>
        <v/>
      </c>
      <c r="AT26" s="31" t="str">
        <f t="shared" ca="1" si="64"/>
        <v/>
      </c>
      <c r="AU26" s="31" t="str">
        <f t="shared" ca="1" si="64"/>
        <v/>
      </c>
      <c r="AV26" s="31" t="str">
        <f t="shared" ca="1" si="64"/>
        <v/>
      </c>
      <c r="AW26" s="31" t="str">
        <f t="shared" ca="1" si="64"/>
        <v/>
      </c>
      <c r="AX26" s="31" t="str">
        <f t="shared" ca="1" si="64"/>
        <v/>
      </c>
      <c r="AY26" s="31" t="str">
        <f t="shared" ca="1" si="64"/>
        <v/>
      </c>
      <c r="AZ26" s="31" t="str">
        <f t="shared" ca="1" si="64"/>
        <v/>
      </c>
      <c r="BA26" s="31" t="str">
        <f t="shared" ca="1" si="64"/>
        <v/>
      </c>
      <c r="BB26" s="31" t="str">
        <f t="shared" ca="1" si="64"/>
        <v/>
      </c>
      <c r="BC26" s="31" t="str">
        <f t="shared" ca="1" si="64"/>
        <v/>
      </c>
      <c r="BD26" s="31" t="str">
        <f t="shared" ca="1" si="65"/>
        <v/>
      </c>
      <c r="BE26" s="31" t="str">
        <f t="shared" ca="1" si="65"/>
        <v/>
      </c>
      <c r="BF26" s="31" t="str">
        <f t="shared" ca="1" si="65"/>
        <v/>
      </c>
      <c r="BG26" s="31" t="str">
        <f t="shared" ca="1" si="65"/>
        <v/>
      </c>
      <c r="BH26" s="31" t="str">
        <f t="shared" ca="1" si="65"/>
        <v/>
      </c>
      <c r="BI26" s="31" t="str">
        <f t="shared" ca="1" si="65"/>
        <v/>
      </c>
      <c r="BJ26" s="31" t="str">
        <f t="shared" ca="1" si="65"/>
        <v/>
      </c>
      <c r="BK26" s="31" t="str">
        <f t="shared" ca="1" si="65"/>
        <v/>
      </c>
      <c r="BL26" s="31" t="str">
        <f t="shared" ca="1" si="65"/>
        <v/>
      </c>
      <c r="BM26" s="31" t="str">
        <f t="shared" ca="1" si="65"/>
        <v/>
      </c>
      <c r="BN26" s="31" t="str">
        <f t="shared" ca="1" si="65"/>
        <v/>
      </c>
      <c r="BO26" s="31" t="str">
        <f t="shared" ca="1" si="65"/>
        <v/>
      </c>
      <c r="BP26" s="31" t="str">
        <f t="shared" ca="1" si="65"/>
        <v/>
      </c>
      <c r="BQ26" s="31" t="str">
        <f t="shared" ca="1" si="65"/>
        <v/>
      </c>
      <c r="BR26" s="31" t="str">
        <f t="shared" ca="1" si="65"/>
        <v/>
      </c>
      <c r="BS26" s="31" t="str">
        <f t="shared" ca="1" si="67"/>
        <v/>
      </c>
      <c r="BT26" s="31" t="str">
        <f t="shared" ca="1" si="67"/>
        <v/>
      </c>
      <c r="BU26" s="31" t="str">
        <f t="shared" ca="1" si="67"/>
        <v/>
      </c>
      <c r="BV26" s="31" t="str">
        <f t="shared" ca="1" si="67"/>
        <v/>
      </c>
      <c r="BW26" s="31" t="str">
        <f t="shared" ca="1" si="67"/>
        <v/>
      </c>
      <c r="BX26" s="31" t="str">
        <f t="shared" ca="1" si="67"/>
        <v/>
      </c>
      <c r="BY26" s="31" t="str">
        <f t="shared" ca="1" si="67"/>
        <v/>
      </c>
      <c r="BZ26" s="31" t="str">
        <f t="shared" ca="1" si="67"/>
        <v/>
      </c>
      <c r="CA26" s="31" t="str">
        <f t="shared" ca="1" si="67"/>
        <v/>
      </c>
      <c r="CB26" s="31" t="str">
        <f t="shared" ca="1" si="67"/>
        <v/>
      </c>
      <c r="CC26" s="31" t="str">
        <f t="shared" ca="1" si="67"/>
        <v/>
      </c>
      <c r="CD26" s="31" t="str">
        <f t="shared" ca="1" si="67"/>
        <v/>
      </c>
      <c r="CE26" s="31" t="str">
        <f t="shared" ca="1" si="62"/>
        <v/>
      </c>
      <c r="CF26" s="31" t="str">
        <f t="shared" ca="1" si="62"/>
        <v/>
      </c>
      <c r="CG26" s="31" t="str">
        <f t="shared" ca="1" si="62"/>
        <v/>
      </c>
      <c r="CH26" s="31" t="str">
        <f t="shared" ca="1" si="62"/>
        <v/>
      </c>
      <c r="CI26" s="31" t="str">
        <f t="shared" ca="1" si="62"/>
        <v/>
      </c>
      <c r="CJ26" s="31" t="str">
        <f t="shared" ca="1" si="62"/>
        <v/>
      </c>
      <c r="CK26" s="31" t="str">
        <f t="shared" ca="1" si="62"/>
        <v/>
      </c>
      <c r="CL26" s="31" t="str">
        <f t="shared" ca="1" si="62"/>
        <v/>
      </c>
      <c r="CM26" s="31" t="str">
        <f t="shared" ca="1" si="62"/>
        <v/>
      </c>
      <c r="CN26" s="31" t="str">
        <f t="shared" ca="1" si="62"/>
        <v/>
      </c>
      <c r="CO26" s="31" t="str">
        <f t="shared" ca="1" si="62"/>
        <v/>
      </c>
      <c r="CP26" s="31" t="str">
        <f t="shared" ca="1" si="62"/>
        <v/>
      </c>
      <c r="CQ26" s="31" t="str">
        <f t="shared" ca="1" si="62"/>
        <v/>
      </c>
      <c r="CR26" s="31" t="str">
        <f t="shared" ca="1" si="62"/>
        <v/>
      </c>
      <c r="CS26" s="31" t="str">
        <f t="shared" ca="1" si="62"/>
        <v/>
      </c>
      <c r="CT26" s="31" t="str">
        <f t="shared" ca="1" si="62"/>
        <v/>
      </c>
      <c r="CU26" s="31" t="str">
        <f t="shared" ca="1" si="62"/>
        <v/>
      </c>
      <c r="CV26" s="31" t="str">
        <f t="shared" ca="1" si="62"/>
        <v/>
      </c>
      <c r="CW26" s="31" t="str">
        <f t="shared" ca="1" si="62"/>
        <v/>
      </c>
      <c r="CX26" s="31" t="str">
        <f t="shared" ca="1" si="62"/>
        <v/>
      </c>
      <c r="CY26" s="31" t="str">
        <f t="shared" ca="1" si="62"/>
        <v/>
      </c>
      <c r="CZ26" s="31" t="str">
        <f t="shared" ca="1" si="62"/>
        <v/>
      </c>
      <c r="DA26" s="31" t="str">
        <f t="shared" ca="1" si="68"/>
        <v/>
      </c>
      <c r="DB26" s="31" t="str">
        <f t="shared" ca="1" si="68"/>
        <v/>
      </c>
    </row>
    <row r="27" spans="1:106" s="2" customFormat="1" ht="42" x14ac:dyDescent="0.4">
      <c r="A27" s="52"/>
      <c r="B27" s="46" t="s">
        <v>61</v>
      </c>
      <c r="C27" s="47"/>
      <c r="D27" s="47"/>
      <c r="E27" s="34"/>
      <c r="F27" s="34"/>
      <c r="G27" s="34"/>
      <c r="H27" s="21"/>
      <c r="I27" s="31" t="str">
        <f t="shared" ref="I27:X33" ca="1" si="69">IF(AND($C27="Objetivo",I$5&gt;=$F27,I$5&lt;=$F27+$G27-1),2,IF(AND($C27="Hito",I$5&gt;=$F27,I$5&lt;=$F27+$G27-1),1,""))</f>
        <v/>
      </c>
      <c r="J27" s="31" t="str">
        <f t="shared" ca="1" si="69"/>
        <v/>
      </c>
      <c r="K27" s="31" t="str">
        <f t="shared" ca="1" si="69"/>
        <v/>
      </c>
      <c r="L27" s="31" t="str">
        <f t="shared" ca="1" si="69"/>
        <v/>
      </c>
      <c r="M27" s="31" t="str">
        <f t="shared" ca="1" si="69"/>
        <v/>
      </c>
      <c r="N27" s="31" t="str">
        <f t="shared" ca="1" si="69"/>
        <v/>
      </c>
      <c r="O27" s="31" t="str">
        <f t="shared" ca="1" si="69"/>
        <v/>
      </c>
      <c r="P27" s="31" t="str">
        <f t="shared" ca="1" si="69"/>
        <v/>
      </c>
      <c r="Q27" s="31" t="str">
        <f t="shared" ca="1" si="69"/>
        <v/>
      </c>
      <c r="R27" s="31" t="str">
        <f t="shared" ca="1" si="69"/>
        <v/>
      </c>
      <c r="S27" s="31" t="str">
        <f t="shared" ca="1" si="69"/>
        <v/>
      </c>
      <c r="T27" s="31" t="str">
        <f t="shared" ca="1" si="69"/>
        <v/>
      </c>
      <c r="U27" s="31" t="str">
        <f t="shared" ca="1" si="69"/>
        <v/>
      </c>
      <c r="V27" s="31" t="str">
        <f t="shared" ca="1" si="69"/>
        <v/>
      </c>
      <c r="W27" s="31" t="str">
        <f t="shared" ca="1" si="69"/>
        <v/>
      </c>
      <c r="X27" s="31" t="str">
        <f t="shared" ca="1" si="69"/>
        <v/>
      </c>
      <c r="Y27" s="31" t="str">
        <f t="shared" ca="1" si="66"/>
        <v/>
      </c>
      <c r="Z27" s="31" t="str">
        <f t="shared" ca="1" si="66"/>
        <v/>
      </c>
      <c r="AA27" s="31" t="str">
        <f t="shared" ca="1" si="66"/>
        <v/>
      </c>
      <c r="AB27" s="31" t="str">
        <f t="shared" ca="1" si="66"/>
        <v/>
      </c>
      <c r="AC27" s="31" t="str">
        <f t="shared" ca="1" si="66"/>
        <v/>
      </c>
      <c r="AD27" s="31" t="str">
        <f t="shared" ca="1" si="66"/>
        <v/>
      </c>
      <c r="AE27" s="31" t="str">
        <f t="shared" ca="1" si="60"/>
        <v/>
      </c>
      <c r="AF27" s="31" t="str">
        <f t="shared" ca="1" si="66"/>
        <v/>
      </c>
      <c r="AG27" s="31" t="str">
        <f t="shared" ca="1" si="66"/>
        <v/>
      </c>
      <c r="AH27" s="31" t="str">
        <f t="shared" ca="1" si="66"/>
        <v/>
      </c>
      <c r="AI27" s="31" t="str">
        <f t="shared" ca="1" si="66"/>
        <v/>
      </c>
      <c r="AJ27" s="31" t="str">
        <f t="shared" ca="1" si="66"/>
        <v/>
      </c>
      <c r="AK27" s="31" t="str">
        <f t="shared" ca="1" si="66"/>
        <v/>
      </c>
      <c r="AL27" s="31" t="str">
        <f t="shared" ca="1" si="66"/>
        <v/>
      </c>
      <c r="AM27" s="31" t="str">
        <f t="shared" ca="1" si="66"/>
        <v/>
      </c>
      <c r="AN27" s="31" t="str">
        <f t="shared" ca="1" si="64"/>
        <v/>
      </c>
      <c r="AO27" s="31" t="str">
        <f t="shared" ca="1" si="64"/>
        <v/>
      </c>
      <c r="AP27" s="31" t="str">
        <f t="shared" ca="1" si="64"/>
        <v/>
      </c>
      <c r="AQ27" s="31" t="str">
        <f t="shared" ca="1" si="64"/>
        <v/>
      </c>
      <c r="AR27" s="31" t="str">
        <f t="shared" ca="1" si="64"/>
        <v/>
      </c>
      <c r="AS27" s="31" t="str">
        <f t="shared" ca="1" si="64"/>
        <v/>
      </c>
      <c r="AT27" s="31" t="str">
        <f t="shared" ca="1" si="64"/>
        <v/>
      </c>
      <c r="AU27" s="31" t="str">
        <f t="shared" ca="1" si="64"/>
        <v/>
      </c>
      <c r="AV27" s="31" t="str">
        <f t="shared" ca="1" si="64"/>
        <v/>
      </c>
      <c r="AW27" s="31" t="str">
        <f t="shared" ca="1" si="64"/>
        <v/>
      </c>
      <c r="AX27" s="31" t="str">
        <f t="shared" ca="1" si="64"/>
        <v/>
      </c>
      <c r="AY27" s="31" t="str">
        <f t="shared" ca="1" si="64"/>
        <v/>
      </c>
      <c r="AZ27" s="31" t="str">
        <f t="shared" ca="1" si="64"/>
        <v/>
      </c>
      <c r="BA27" s="31" t="str">
        <f t="shared" ca="1" si="64"/>
        <v/>
      </c>
      <c r="BB27" s="31" t="str">
        <f t="shared" ca="1" si="64"/>
        <v/>
      </c>
      <c r="BC27" s="31" t="str">
        <f t="shared" ca="1" si="64"/>
        <v/>
      </c>
      <c r="BD27" s="31" t="str">
        <f t="shared" ca="1" si="65"/>
        <v/>
      </c>
      <c r="BE27" s="31" t="str">
        <f t="shared" ca="1" si="65"/>
        <v/>
      </c>
      <c r="BF27" s="31" t="str">
        <f t="shared" ca="1" si="65"/>
        <v/>
      </c>
      <c r="BG27" s="31" t="str">
        <f t="shared" ca="1" si="65"/>
        <v/>
      </c>
      <c r="BH27" s="31" t="str">
        <f t="shared" ca="1" si="65"/>
        <v/>
      </c>
      <c r="BI27" s="31" t="str">
        <f t="shared" ca="1" si="65"/>
        <v/>
      </c>
      <c r="BJ27" s="31" t="str">
        <f t="shared" ca="1" si="65"/>
        <v/>
      </c>
      <c r="BK27" s="31" t="str">
        <f t="shared" ca="1" si="65"/>
        <v/>
      </c>
      <c r="BL27" s="31" t="str">
        <f t="shared" ca="1" si="65"/>
        <v/>
      </c>
      <c r="BM27" s="31" t="str">
        <f t="shared" ca="1" si="65"/>
        <v/>
      </c>
      <c r="BN27" s="31" t="str">
        <f t="shared" ca="1" si="65"/>
        <v/>
      </c>
      <c r="BO27" s="31" t="str">
        <f t="shared" ca="1" si="65"/>
        <v/>
      </c>
      <c r="BP27" s="31" t="str">
        <f t="shared" ca="1" si="65"/>
        <v/>
      </c>
      <c r="BQ27" s="31" t="str">
        <f t="shared" ca="1" si="65"/>
        <v/>
      </c>
      <c r="BR27" s="31" t="str">
        <f t="shared" ca="1" si="65"/>
        <v/>
      </c>
      <c r="BS27" s="31" t="str">
        <f t="shared" ca="1" si="67"/>
        <v/>
      </c>
      <c r="BT27" s="31" t="str">
        <f t="shared" ca="1" si="67"/>
        <v/>
      </c>
      <c r="BU27" s="31" t="str">
        <f t="shared" ca="1" si="67"/>
        <v/>
      </c>
      <c r="BV27" s="31" t="str">
        <f t="shared" ca="1" si="67"/>
        <v/>
      </c>
      <c r="BW27" s="31" t="str">
        <f t="shared" ca="1" si="67"/>
        <v/>
      </c>
      <c r="BX27" s="31" t="str">
        <f t="shared" ca="1" si="67"/>
        <v/>
      </c>
      <c r="BY27" s="31" t="str">
        <f t="shared" ca="1" si="67"/>
        <v/>
      </c>
      <c r="BZ27" s="31" t="str">
        <f t="shared" ca="1" si="67"/>
        <v/>
      </c>
      <c r="CA27" s="31" t="str">
        <f t="shared" ca="1" si="67"/>
        <v/>
      </c>
      <c r="CB27" s="31" t="str">
        <f t="shared" ca="1" si="67"/>
        <v/>
      </c>
      <c r="CC27" s="31" t="str">
        <f t="shared" ca="1" si="67"/>
        <v/>
      </c>
      <c r="CD27" s="31" t="str">
        <f t="shared" ca="1" si="67"/>
        <v/>
      </c>
      <c r="CE27" s="31" t="str">
        <f t="shared" ca="1" si="62"/>
        <v/>
      </c>
      <c r="CF27" s="31" t="str">
        <f t="shared" ca="1" si="62"/>
        <v/>
      </c>
      <c r="CG27" s="31" t="str">
        <f t="shared" ca="1" si="62"/>
        <v/>
      </c>
      <c r="CH27" s="31" t="str">
        <f t="shared" ca="1" si="62"/>
        <v/>
      </c>
      <c r="CI27" s="31" t="str">
        <f t="shared" ca="1" si="62"/>
        <v/>
      </c>
      <c r="CJ27" s="31" t="str">
        <f t="shared" ca="1" si="62"/>
        <v/>
      </c>
      <c r="CK27" s="31" t="str">
        <f t="shared" ca="1" si="62"/>
        <v/>
      </c>
      <c r="CL27" s="31" t="str">
        <f t="shared" ca="1" si="62"/>
        <v/>
      </c>
      <c r="CM27" s="31" t="str">
        <f t="shared" ca="1" si="62"/>
        <v/>
      </c>
      <c r="CN27" s="31" t="str">
        <f t="shared" ca="1" si="62"/>
        <v/>
      </c>
      <c r="CO27" s="31" t="str">
        <f t="shared" ca="1" si="62"/>
        <v/>
      </c>
      <c r="CP27" s="31" t="str">
        <f t="shared" ca="1" si="62"/>
        <v/>
      </c>
      <c r="CQ27" s="31" t="str">
        <f t="shared" ca="1" si="62"/>
        <v/>
      </c>
      <c r="CR27" s="31" t="str">
        <f t="shared" ca="1" si="62"/>
        <v/>
      </c>
      <c r="CS27" s="31" t="str">
        <f t="shared" ca="1" si="62"/>
        <v/>
      </c>
      <c r="CT27" s="31" t="str">
        <f t="shared" ca="1" si="62"/>
        <v/>
      </c>
      <c r="CU27" s="31" t="str">
        <f t="shared" ca="1" si="62"/>
        <v/>
      </c>
      <c r="CV27" s="31" t="str">
        <f t="shared" ca="1" si="62"/>
        <v/>
      </c>
      <c r="CW27" s="31" t="str">
        <f t="shared" ca="1" si="62"/>
        <v/>
      </c>
      <c r="CX27" s="31" t="str">
        <f t="shared" ca="1" si="62"/>
        <v/>
      </c>
      <c r="CY27" s="31" t="str">
        <f t="shared" ca="1" si="62"/>
        <v/>
      </c>
      <c r="CZ27" s="31" t="str">
        <f t="shared" ca="1" si="62"/>
        <v/>
      </c>
      <c r="DA27" s="31" t="str">
        <f t="shared" ca="1" si="68"/>
        <v/>
      </c>
      <c r="DB27" s="31" t="str">
        <f t="shared" ca="1" si="68"/>
        <v/>
      </c>
    </row>
    <row r="28" spans="1:106" s="2" customFormat="1" ht="42" x14ac:dyDescent="0.4">
      <c r="A28" s="52"/>
      <c r="B28" s="48" t="s">
        <v>62</v>
      </c>
      <c r="C28" s="47" t="s">
        <v>18</v>
      </c>
      <c r="D28" s="47" t="s">
        <v>52</v>
      </c>
      <c r="E28" s="49"/>
      <c r="F28" s="50">
        <f>F26+G26</f>
        <v>45953</v>
      </c>
      <c r="G28" s="51">
        <v>5</v>
      </c>
      <c r="H28" s="21"/>
      <c r="I28" s="31" t="str">
        <f t="shared" ca="1" si="69"/>
        <v/>
      </c>
      <c r="J28" s="31" t="str">
        <f t="shared" ca="1" si="69"/>
        <v/>
      </c>
      <c r="K28" s="31" t="str">
        <f t="shared" ca="1" si="69"/>
        <v/>
      </c>
      <c r="L28" s="31" t="str">
        <f t="shared" ca="1" si="69"/>
        <v/>
      </c>
      <c r="M28" s="31" t="str">
        <f t="shared" ca="1" si="69"/>
        <v/>
      </c>
      <c r="N28" s="31" t="str">
        <f t="shared" ca="1" si="69"/>
        <v/>
      </c>
      <c r="O28" s="31" t="str">
        <f t="shared" ca="1" si="69"/>
        <v/>
      </c>
      <c r="P28" s="31" t="str">
        <f t="shared" ca="1" si="69"/>
        <v/>
      </c>
      <c r="Q28" s="31" t="str">
        <f t="shared" ca="1" si="69"/>
        <v/>
      </c>
      <c r="R28" s="31" t="str">
        <f t="shared" ca="1" si="69"/>
        <v/>
      </c>
      <c r="S28" s="31" t="str">
        <f t="shared" ca="1" si="69"/>
        <v/>
      </c>
      <c r="T28" s="31" t="str">
        <f t="shared" ca="1" si="69"/>
        <v/>
      </c>
      <c r="U28" s="31" t="str">
        <f t="shared" ca="1" si="69"/>
        <v/>
      </c>
      <c r="V28" s="31" t="str">
        <f t="shared" ca="1" si="69"/>
        <v/>
      </c>
      <c r="W28" s="31" t="str">
        <f t="shared" ca="1" si="69"/>
        <v/>
      </c>
      <c r="X28" s="31" t="str">
        <f t="shared" ca="1" si="69"/>
        <v/>
      </c>
      <c r="Y28" s="31" t="str">
        <f t="shared" ca="1" si="66"/>
        <v/>
      </c>
      <c r="Z28" s="31" t="str">
        <f t="shared" ca="1" si="66"/>
        <v/>
      </c>
      <c r="AA28" s="31" t="str">
        <f t="shared" ca="1" si="66"/>
        <v/>
      </c>
      <c r="AB28" s="31" t="str">
        <f t="shared" ca="1" si="66"/>
        <v/>
      </c>
      <c r="AC28" s="31" t="str">
        <f t="shared" ca="1" si="66"/>
        <v/>
      </c>
      <c r="AD28" s="31" t="str">
        <f t="shared" ca="1" si="66"/>
        <v/>
      </c>
      <c r="AE28" s="31" t="str">
        <f t="shared" ca="1" si="60"/>
        <v/>
      </c>
      <c r="AF28" s="31" t="str">
        <f t="shared" ca="1" si="66"/>
        <v/>
      </c>
      <c r="AG28" s="31" t="str">
        <f t="shared" ca="1" si="66"/>
        <v/>
      </c>
      <c r="AH28" s="31" t="str">
        <f t="shared" ca="1" si="66"/>
        <v/>
      </c>
      <c r="AI28" s="31" t="str">
        <f t="shared" ca="1" si="66"/>
        <v/>
      </c>
      <c r="AJ28" s="31" t="str">
        <f t="shared" ca="1" si="66"/>
        <v/>
      </c>
      <c r="AK28" s="31" t="str">
        <f t="shared" ca="1" si="66"/>
        <v/>
      </c>
      <c r="AL28" s="31" t="str">
        <f t="shared" ca="1" si="66"/>
        <v/>
      </c>
      <c r="AM28" s="31" t="str">
        <f t="shared" ca="1" si="66"/>
        <v/>
      </c>
      <c r="AN28" s="31" t="str">
        <f t="shared" ca="1" si="64"/>
        <v/>
      </c>
      <c r="AO28" s="31" t="str">
        <f t="shared" ca="1" si="64"/>
        <v/>
      </c>
      <c r="AP28" s="31" t="str">
        <f t="shared" ca="1" si="64"/>
        <v/>
      </c>
      <c r="AQ28" s="31" t="str">
        <f t="shared" ca="1" si="64"/>
        <v/>
      </c>
      <c r="AR28" s="31" t="str">
        <f t="shared" ca="1" si="64"/>
        <v/>
      </c>
      <c r="AS28" s="31" t="str">
        <f t="shared" ca="1" si="64"/>
        <v/>
      </c>
      <c r="AT28" s="31" t="str">
        <f t="shared" ca="1" si="64"/>
        <v/>
      </c>
      <c r="AU28" s="31" t="str">
        <f t="shared" ca="1" si="64"/>
        <v/>
      </c>
      <c r="AV28" s="31" t="str">
        <f t="shared" ca="1" si="64"/>
        <v/>
      </c>
      <c r="AW28" s="31" t="str">
        <f t="shared" ca="1" si="64"/>
        <v/>
      </c>
      <c r="AX28" s="31" t="str">
        <f t="shared" ca="1" si="64"/>
        <v/>
      </c>
      <c r="AY28" s="31" t="str">
        <f t="shared" ca="1" si="64"/>
        <v/>
      </c>
      <c r="AZ28" s="31" t="str">
        <f t="shared" ca="1" si="64"/>
        <v/>
      </c>
      <c r="BA28" s="31" t="str">
        <f t="shared" ca="1" si="64"/>
        <v/>
      </c>
      <c r="BB28" s="31" t="str">
        <f t="shared" ca="1" si="64"/>
        <v/>
      </c>
      <c r="BC28" s="31" t="str">
        <f t="shared" ca="1" si="64"/>
        <v/>
      </c>
      <c r="BD28" s="31" t="str">
        <f t="shared" ca="1" si="65"/>
        <v/>
      </c>
      <c r="BE28" s="31" t="str">
        <f t="shared" ca="1" si="65"/>
        <v/>
      </c>
      <c r="BF28" s="31" t="str">
        <f t="shared" ca="1" si="65"/>
        <v/>
      </c>
      <c r="BG28" s="31" t="str">
        <f t="shared" ca="1" si="65"/>
        <v/>
      </c>
      <c r="BH28" s="31" t="str">
        <f t="shared" ca="1" si="65"/>
        <v/>
      </c>
      <c r="BI28" s="31" t="str">
        <f t="shared" ca="1" si="65"/>
        <v/>
      </c>
      <c r="BJ28" s="31" t="str">
        <f t="shared" ca="1" si="65"/>
        <v/>
      </c>
      <c r="BK28" s="31" t="str">
        <f t="shared" ca="1" si="65"/>
        <v/>
      </c>
      <c r="BL28" s="31" t="str">
        <f t="shared" ca="1" si="65"/>
        <v/>
      </c>
      <c r="BM28" s="31" t="str">
        <f t="shared" ca="1" si="65"/>
        <v/>
      </c>
      <c r="BN28" s="31" t="str">
        <f t="shared" ca="1" si="65"/>
        <v/>
      </c>
      <c r="BO28" s="31" t="str">
        <f t="shared" ca="1" si="65"/>
        <v/>
      </c>
      <c r="BP28" s="31" t="str">
        <f t="shared" ca="1" si="65"/>
        <v/>
      </c>
      <c r="BQ28" s="31" t="str">
        <f t="shared" ca="1" si="65"/>
        <v/>
      </c>
      <c r="BR28" s="31" t="str">
        <f t="shared" ca="1" si="65"/>
        <v/>
      </c>
      <c r="BS28" s="31" t="str">
        <f t="shared" ca="1" si="67"/>
        <v/>
      </c>
      <c r="BT28" s="31" t="str">
        <f t="shared" ca="1" si="67"/>
        <v/>
      </c>
      <c r="BU28" s="31" t="str">
        <f t="shared" ca="1" si="67"/>
        <v/>
      </c>
      <c r="BV28" s="31" t="str">
        <f t="shared" ca="1" si="67"/>
        <v/>
      </c>
      <c r="BW28" s="31" t="str">
        <f t="shared" ca="1" si="67"/>
        <v/>
      </c>
      <c r="BX28" s="31" t="str">
        <f t="shared" ca="1" si="67"/>
        <v/>
      </c>
      <c r="BY28" s="31" t="str">
        <f t="shared" ca="1" si="67"/>
        <v/>
      </c>
      <c r="BZ28" s="31" t="str">
        <f t="shared" ca="1" si="67"/>
        <v/>
      </c>
      <c r="CA28" s="31" t="str">
        <f t="shared" ca="1" si="67"/>
        <v/>
      </c>
      <c r="CB28" s="31" t="str">
        <f t="shared" ca="1" si="67"/>
        <v/>
      </c>
      <c r="CC28" s="31" t="str">
        <f t="shared" ca="1" si="67"/>
        <v/>
      </c>
      <c r="CD28" s="31" t="str">
        <f t="shared" ca="1" si="67"/>
        <v/>
      </c>
      <c r="CE28" s="31" t="str">
        <f t="shared" ca="1" si="62"/>
        <v/>
      </c>
      <c r="CF28" s="31" t="str">
        <f t="shared" ca="1" si="62"/>
        <v/>
      </c>
      <c r="CG28" s="31" t="str">
        <f t="shared" ca="1" si="62"/>
        <v/>
      </c>
      <c r="CH28" s="31" t="str">
        <f t="shared" ca="1" si="62"/>
        <v/>
      </c>
      <c r="CI28" s="31" t="str">
        <f t="shared" ca="1" si="62"/>
        <v/>
      </c>
      <c r="CJ28" s="31" t="str">
        <f t="shared" ca="1" si="62"/>
        <v/>
      </c>
      <c r="CK28" s="31" t="str">
        <f t="shared" ca="1" si="62"/>
        <v/>
      </c>
      <c r="CL28" s="31" t="str">
        <f t="shared" ca="1" si="62"/>
        <v/>
      </c>
      <c r="CM28" s="31" t="str">
        <f t="shared" ca="1" si="62"/>
        <v/>
      </c>
      <c r="CN28" s="31" t="str">
        <f t="shared" ca="1" si="62"/>
        <v/>
      </c>
      <c r="CO28" s="31" t="str">
        <f t="shared" ca="1" si="62"/>
        <v/>
      </c>
      <c r="CP28" s="31" t="str">
        <f t="shared" ca="1" si="62"/>
        <v/>
      </c>
      <c r="CQ28" s="31" t="str">
        <f t="shared" ca="1" si="62"/>
        <v/>
      </c>
      <c r="CR28" s="31" t="str">
        <f t="shared" ca="1" si="62"/>
        <v/>
      </c>
      <c r="CS28" s="31" t="str">
        <f t="shared" ca="1" si="62"/>
        <v/>
      </c>
      <c r="CT28" s="31" t="str">
        <f t="shared" ca="1" si="62"/>
        <v/>
      </c>
      <c r="CU28" s="31" t="str">
        <f t="shared" ca="1" si="62"/>
        <v/>
      </c>
      <c r="CV28" s="31" t="str">
        <f t="shared" ca="1" si="62"/>
        <v/>
      </c>
      <c r="CW28" s="31" t="str">
        <f t="shared" ca="1" si="62"/>
        <v/>
      </c>
      <c r="CX28" s="31" t="str">
        <f t="shared" ca="1" si="62"/>
        <v/>
      </c>
      <c r="CY28" s="31" t="str">
        <f t="shared" ca="1" si="62"/>
        <v/>
      </c>
      <c r="CZ28" s="31" t="str">
        <f t="shared" ca="1" si="62"/>
        <v/>
      </c>
      <c r="DA28" s="31" t="str">
        <f t="shared" ca="1" si="68"/>
        <v/>
      </c>
      <c r="DB28" s="31" t="str">
        <f t="shared" ca="1" si="68"/>
        <v/>
      </c>
    </row>
    <row r="29" spans="1:106" s="2" customFormat="1" ht="42" x14ac:dyDescent="0.4">
      <c r="A29" s="52"/>
      <c r="B29" s="48" t="s">
        <v>63</v>
      </c>
      <c r="C29" s="47" t="s">
        <v>20</v>
      </c>
      <c r="D29" s="47" t="s">
        <v>37</v>
      </c>
      <c r="E29" s="49"/>
      <c r="F29" s="50">
        <f>F28+G28</f>
        <v>45958</v>
      </c>
      <c r="G29" s="51">
        <v>3</v>
      </c>
      <c r="H29" s="21"/>
      <c r="I29" s="31" t="str">
        <f t="shared" ca="1" si="69"/>
        <v/>
      </c>
      <c r="J29" s="31" t="str">
        <f t="shared" ca="1" si="69"/>
        <v/>
      </c>
      <c r="K29" s="31" t="str">
        <f t="shared" ca="1" si="69"/>
        <v/>
      </c>
      <c r="L29" s="31" t="str">
        <f t="shared" ca="1" si="69"/>
        <v/>
      </c>
      <c r="M29" s="31" t="str">
        <f t="shared" ca="1" si="69"/>
        <v/>
      </c>
      <c r="N29" s="31" t="str">
        <f t="shared" ca="1" si="69"/>
        <v/>
      </c>
      <c r="O29" s="31" t="str">
        <f t="shared" ca="1" si="69"/>
        <v/>
      </c>
      <c r="P29" s="31" t="str">
        <f t="shared" ca="1" si="69"/>
        <v/>
      </c>
      <c r="Q29" s="31" t="str">
        <f t="shared" ca="1" si="69"/>
        <v/>
      </c>
      <c r="R29" s="31" t="str">
        <f t="shared" ca="1" si="69"/>
        <v/>
      </c>
      <c r="S29" s="31" t="str">
        <f t="shared" ca="1" si="69"/>
        <v/>
      </c>
      <c r="T29" s="31" t="str">
        <f t="shared" ca="1" si="69"/>
        <v/>
      </c>
      <c r="U29" s="31" t="str">
        <f t="shared" ca="1" si="69"/>
        <v/>
      </c>
      <c r="V29" s="31" t="str">
        <f t="shared" ca="1" si="69"/>
        <v/>
      </c>
      <c r="W29" s="31" t="str">
        <f t="shared" ca="1" si="69"/>
        <v/>
      </c>
      <c r="X29" s="31" t="str">
        <f t="shared" ca="1" si="69"/>
        <v/>
      </c>
      <c r="Y29" s="31" t="str">
        <f t="shared" ca="1" si="66"/>
        <v/>
      </c>
      <c r="Z29" s="31" t="str">
        <f t="shared" ca="1" si="66"/>
        <v/>
      </c>
      <c r="AA29" s="31" t="str">
        <f t="shared" ca="1" si="66"/>
        <v/>
      </c>
      <c r="AB29" s="31" t="str">
        <f t="shared" ca="1" si="66"/>
        <v/>
      </c>
      <c r="AC29" s="31" t="str">
        <f t="shared" ca="1" si="66"/>
        <v/>
      </c>
      <c r="AD29" s="31" t="str">
        <f t="shared" ca="1" si="66"/>
        <v/>
      </c>
      <c r="AE29" s="31" t="str">
        <f t="shared" ca="1" si="60"/>
        <v/>
      </c>
      <c r="AF29" s="31" t="str">
        <f t="shared" ca="1" si="66"/>
        <v/>
      </c>
      <c r="AG29" s="31" t="str">
        <f t="shared" ca="1" si="66"/>
        <v/>
      </c>
      <c r="AH29" s="31" t="str">
        <f t="shared" ca="1" si="66"/>
        <v/>
      </c>
      <c r="AI29" s="31" t="str">
        <f t="shared" ca="1" si="66"/>
        <v/>
      </c>
      <c r="AJ29" s="31" t="str">
        <f t="shared" ca="1" si="66"/>
        <v/>
      </c>
      <c r="AK29" s="31" t="str">
        <f t="shared" ca="1" si="66"/>
        <v/>
      </c>
      <c r="AL29" s="31" t="str">
        <f t="shared" ca="1" si="66"/>
        <v/>
      </c>
      <c r="AM29" s="31" t="str">
        <f t="shared" ca="1" si="66"/>
        <v/>
      </c>
      <c r="AN29" s="31" t="str">
        <f t="shared" ca="1" si="64"/>
        <v/>
      </c>
      <c r="AO29" s="31" t="str">
        <f t="shared" ca="1" si="64"/>
        <v/>
      </c>
      <c r="AP29" s="31" t="str">
        <f t="shared" ca="1" si="64"/>
        <v/>
      </c>
      <c r="AQ29" s="31" t="str">
        <f t="shared" ca="1" si="64"/>
        <v/>
      </c>
      <c r="AR29" s="31" t="str">
        <f t="shared" ca="1" si="64"/>
        <v/>
      </c>
      <c r="AS29" s="31" t="str">
        <f t="shared" ca="1" si="64"/>
        <v/>
      </c>
      <c r="AT29" s="31" t="str">
        <f t="shared" ca="1" si="64"/>
        <v/>
      </c>
      <c r="AU29" s="31" t="str">
        <f t="shared" ca="1" si="64"/>
        <v/>
      </c>
      <c r="AV29" s="31" t="str">
        <f t="shared" ca="1" si="64"/>
        <v/>
      </c>
      <c r="AW29" s="31" t="str">
        <f t="shared" ca="1" si="64"/>
        <v/>
      </c>
      <c r="AX29" s="31" t="str">
        <f t="shared" ca="1" si="64"/>
        <v/>
      </c>
      <c r="AY29" s="31" t="str">
        <f t="shared" ca="1" si="64"/>
        <v/>
      </c>
      <c r="AZ29" s="31" t="str">
        <f t="shared" ca="1" si="64"/>
        <v/>
      </c>
      <c r="BA29" s="31" t="str">
        <f t="shared" ca="1" si="64"/>
        <v/>
      </c>
      <c r="BB29" s="31" t="str">
        <f t="shared" ca="1" si="64"/>
        <v/>
      </c>
      <c r="BC29" s="31" t="str">
        <f t="shared" ca="1" si="64"/>
        <v/>
      </c>
      <c r="BD29" s="31" t="str">
        <f t="shared" ca="1" si="65"/>
        <v/>
      </c>
      <c r="BE29" s="31" t="str">
        <f t="shared" ca="1" si="65"/>
        <v/>
      </c>
      <c r="BF29" s="31" t="str">
        <f t="shared" ca="1" si="65"/>
        <v/>
      </c>
      <c r="BG29" s="31" t="str">
        <f t="shared" ca="1" si="65"/>
        <v/>
      </c>
      <c r="BH29" s="31" t="str">
        <f t="shared" ca="1" si="65"/>
        <v/>
      </c>
      <c r="BI29" s="31" t="str">
        <f t="shared" ca="1" si="65"/>
        <v/>
      </c>
      <c r="BJ29" s="31" t="str">
        <f t="shared" ca="1" si="65"/>
        <v/>
      </c>
      <c r="BK29" s="31" t="str">
        <f t="shared" ca="1" si="65"/>
        <v/>
      </c>
      <c r="BL29" s="31" t="str">
        <f t="shared" ca="1" si="65"/>
        <v/>
      </c>
      <c r="BM29" s="31" t="str">
        <f t="shared" ca="1" si="65"/>
        <v/>
      </c>
      <c r="BN29" s="31" t="str">
        <f t="shared" ca="1" si="65"/>
        <v/>
      </c>
      <c r="BO29" s="31" t="str">
        <f t="shared" ca="1" si="65"/>
        <v/>
      </c>
      <c r="BP29" s="31" t="str">
        <f t="shared" ca="1" si="65"/>
        <v/>
      </c>
      <c r="BQ29" s="31" t="str">
        <f t="shared" ca="1" si="65"/>
        <v/>
      </c>
      <c r="BR29" s="31" t="str">
        <f t="shared" ca="1" si="65"/>
        <v/>
      </c>
      <c r="BS29" s="31" t="str">
        <f t="shared" ca="1" si="67"/>
        <v/>
      </c>
      <c r="BT29" s="31" t="str">
        <f t="shared" ca="1" si="67"/>
        <v/>
      </c>
      <c r="BU29" s="31" t="str">
        <f t="shared" ca="1" si="67"/>
        <v/>
      </c>
      <c r="BV29" s="31" t="str">
        <f t="shared" ca="1" si="67"/>
        <v/>
      </c>
      <c r="BW29" s="31" t="str">
        <f t="shared" ca="1" si="67"/>
        <v/>
      </c>
      <c r="BX29" s="31" t="str">
        <f t="shared" ca="1" si="67"/>
        <v/>
      </c>
      <c r="BY29" s="31" t="str">
        <f t="shared" ca="1" si="67"/>
        <v/>
      </c>
      <c r="BZ29" s="31" t="str">
        <f t="shared" ca="1" si="67"/>
        <v/>
      </c>
      <c r="CA29" s="31" t="str">
        <f t="shared" ca="1" si="67"/>
        <v/>
      </c>
      <c r="CB29" s="31" t="str">
        <f t="shared" ca="1" si="67"/>
        <v/>
      </c>
      <c r="CC29" s="31" t="str">
        <f t="shared" ca="1" si="67"/>
        <v/>
      </c>
      <c r="CD29" s="31" t="str">
        <f t="shared" ca="1" si="67"/>
        <v/>
      </c>
      <c r="CE29" s="31" t="str">
        <f t="shared" ca="1" si="62"/>
        <v/>
      </c>
      <c r="CF29" s="31" t="str">
        <f t="shared" ca="1" si="62"/>
        <v/>
      </c>
      <c r="CG29" s="31" t="str">
        <f t="shared" ca="1" si="62"/>
        <v/>
      </c>
      <c r="CH29" s="31" t="str">
        <f t="shared" ca="1" si="62"/>
        <v/>
      </c>
      <c r="CI29" s="31" t="str">
        <f t="shared" ca="1" si="62"/>
        <v/>
      </c>
      <c r="CJ29" s="31" t="str">
        <f t="shared" ca="1" si="62"/>
        <v/>
      </c>
      <c r="CK29" s="31" t="str">
        <f t="shared" ca="1" si="62"/>
        <v/>
      </c>
      <c r="CL29" s="31" t="str">
        <f t="shared" ca="1" si="62"/>
        <v/>
      </c>
      <c r="CM29" s="31" t="str">
        <f t="shared" ca="1" si="62"/>
        <v/>
      </c>
      <c r="CN29" s="31" t="str">
        <f t="shared" ca="1" si="62"/>
        <v/>
      </c>
      <c r="CO29" s="31" t="str">
        <f t="shared" ca="1" si="62"/>
        <v/>
      </c>
      <c r="CP29" s="31" t="str">
        <f t="shared" ca="1" si="62"/>
        <v/>
      </c>
      <c r="CQ29" s="31" t="str">
        <f t="shared" ca="1" si="62"/>
        <v/>
      </c>
      <c r="CR29" s="31" t="str">
        <f t="shared" ca="1" si="62"/>
        <v/>
      </c>
      <c r="CS29" s="31" t="str">
        <f t="shared" ca="1" si="62"/>
        <v/>
      </c>
      <c r="CT29" s="31" t="str">
        <f t="shared" ca="1" si="62"/>
        <v/>
      </c>
      <c r="CU29" s="31" t="str">
        <f t="shared" ca="1" si="62"/>
        <v/>
      </c>
      <c r="CV29" s="31" t="str">
        <f t="shared" ca="1" si="62"/>
        <v/>
      </c>
      <c r="CW29" s="31" t="str">
        <f t="shared" ca="1" si="62"/>
        <v/>
      </c>
      <c r="CX29" s="31" t="str">
        <f t="shared" ca="1" si="62"/>
        <v/>
      </c>
      <c r="CY29" s="31" t="str">
        <f t="shared" ca="1" si="62"/>
        <v/>
      </c>
      <c r="CZ29" s="31" t="str">
        <f t="shared" ca="1" si="62"/>
        <v/>
      </c>
      <c r="DA29" s="31" t="str">
        <f t="shared" ca="1" si="68"/>
        <v/>
      </c>
      <c r="DB29" s="31" t="str">
        <f t="shared" ca="1" si="68"/>
        <v/>
      </c>
    </row>
    <row r="30" spans="1:106" s="2" customFormat="1" ht="42" x14ac:dyDescent="0.4">
      <c r="A30" s="52"/>
      <c r="B30" s="48" t="s">
        <v>64</v>
      </c>
      <c r="C30" s="47" t="s">
        <v>16</v>
      </c>
      <c r="D30" s="47" t="s">
        <v>59</v>
      </c>
      <c r="E30" s="49"/>
      <c r="F30" s="50">
        <f t="shared" ref="F30:F31" si="70">F29+G29</f>
        <v>45961</v>
      </c>
      <c r="G30" s="51">
        <v>5</v>
      </c>
      <c r="H30" s="21"/>
      <c r="I30" s="31" t="str">
        <f t="shared" ca="1" si="69"/>
        <v/>
      </c>
      <c r="J30" s="31" t="str">
        <f t="shared" ca="1" si="69"/>
        <v/>
      </c>
      <c r="K30" s="31" t="str">
        <f ca="1">IF(AND($C30="Objetivo",K$5&gt;=$F30,K$5&lt;=$F30+$G30-1),2,IF(AND($C30="Hito",K$5&gt;=$F30,K$5&lt;=$F30+$G30-1),1,""))</f>
        <v/>
      </c>
      <c r="L30" s="31" t="str">
        <f t="shared" ca="1" si="69"/>
        <v/>
      </c>
      <c r="M30" s="31" t="str">
        <f t="shared" ca="1" si="69"/>
        <v/>
      </c>
      <c r="N30" s="31" t="str">
        <f t="shared" ca="1" si="69"/>
        <v/>
      </c>
      <c r="O30" s="31" t="str">
        <f t="shared" ca="1" si="69"/>
        <v/>
      </c>
      <c r="P30" s="31" t="str">
        <f t="shared" ca="1" si="69"/>
        <v/>
      </c>
      <c r="Q30" s="31" t="str">
        <f t="shared" ca="1" si="69"/>
        <v/>
      </c>
      <c r="R30" s="31" t="str">
        <f t="shared" ca="1" si="69"/>
        <v/>
      </c>
      <c r="S30" s="31" t="str">
        <f t="shared" ca="1" si="69"/>
        <v/>
      </c>
      <c r="T30" s="31" t="str">
        <f t="shared" ca="1" si="69"/>
        <v/>
      </c>
      <c r="U30" s="31" t="str">
        <f t="shared" ca="1" si="69"/>
        <v/>
      </c>
      <c r="V30" s="31" t="str">
        <f t="shared" ca="1" si="69"/>
        <v/>
      </c>
      <c r="W30" s="31" t="str">
        <f t="shared" ca="1" si="69"/>
        <v/>
      </c>
      <c r="X30" s="31" t="str">
        <f t="shared" ca="1" si="69"/>
        <v/>
      </c>
      <c r="Y30" s="31" t="str">
        <f t="shared" ca="1" si="66"/>
        <v/>
      </c>
      <c r="Z30" s="31" t="str">
        <f t="shared" ca="1" si="66"/>
        <v/>
      </c>
      <c r="AA30" s="31" t="str">
        <f t="shared" ca="1" si="66"/>
        <v/>
      </c>
      <c r="AB30" s="31" t="str">
        <f t="shared" ca="1" si="66"/>
        <v/>
      </c>
      <c r="AC30" s="31" t="str">
        <f t="shared" ca="1" si="66"/>
        <v/>
      </c>
      <c r="AD30" s="31" t="str">
        <f t="shared" ca="1" si="66"/>
        <v/>
      </c>
      <c r="AE30" s="31" t="str">
        <f t="shared" ca="1" si="60"/>
        <v/>
      </c>
      <c r="AF30" s="31" t="str">
        <f t="shared" ca="1" si="66"/>
        <v/>
      </c>
      <c r="AG30" s="31" t="str">
        <f t="shared" ca="1" si="66"/>
        <v/>
      </c>
      <c r="AH30" s="31" t="str">
        <f t="shared" ca="1" si="66"/>
        <v/>
      </c>
      <c r="AI30" s="31" t="str">
        <f t="shared" ca="1" si="66"/>
        <v/>
      </c>
      <c r="AJ30" s="31" t="str">
        <f t="shared" ca="1" si="66"/>
        <v/>
      </c>
      <c r="AK30" s="31" t="str">
        <f t="shared" ca="1" si="66"/>
        <v/>
      </c>
      <c r="AL30" s="31" t="str">
        <f t="shared" ca="1" si="66"/>
        <v/>
      </c>
      <c r="AM30" s="31" t="str">
        <f t="shared" ca="1" si="66"/>
        <v/>
      </c>
      <c r="AN30" s="31" t="str">
        <f t="shared" ca="1" si="64"/>
        <v/>
      </c>
      <c r="AO30" s="31" t="str">
        <f t="shared" ca="1" si="64"/>
        <v/>
      </c>
      <c r="AP30" s="31" t="str">
        <f t="shared" ca="1" si="64"/>
        <v/>
      </c>
      <c r="AQ30" s="31" t="str">
        <f t="shared" ca="1" si="64"/>
        <v/>
      </c>
      <c r="AR30" s="31" t="str">
        <f t="shared" ca="1" si="64"/>
        <v/>
      </c>
      <c r="AS30" s="31" t="str">
        <f t="shared" ca="1" si="64"/>
        <v/>
      </c>
      <c r="AT30" s="31" t="str">
        <f t="shared" ca="1" si="64"/>
        <v/>
      </c>
      <c r="AU30" s="31" t="str">
        <f t="shared" ca="1" si="64"/>
        <v/>
      </c>
      <c r="AV30" s="31" t="str">
        <f t="shared" ca="1" si="64"/>
        <v/>
      </c>
      <c r="AW30" s="31" t="str">
        <f t="shared" ca="1" si="64"/>
        <v/>
      </c>
      <c r="AX30" s="31" t="str">
        <f t="shared" ca="1" si="64"/>
        <v/>
      </c>
      <c r="AY30" s="31" t="str">
        <f t="shared" ca="1" si="64"/>
        <v/>
      </c>
      <c r="AZ30" s="31" t="str">
        <f t="shared" ca="1" si="64"/>
        <v/>
      </c>
      <c r="BA30" s="31" t="str">
        <f t="shared" ca="1" si="64"/>
        <v/>
      </c>
      <c r="BB30" s="31" t="str">
        <f t="shared" ca="1" si="64"/>
        <v/>
      </c>
      <c r="BC30" s="31" t="str">
        <f t="shared" ca="1" si="64"/>
        <v/>
      </c>
      <c r="BD30" s="31" t="str">
        <f t="shared" ca="1" si="65"/>
        <v/>
      </c>
      <c r="BE30" s="31" t="str">
        <f t="shared" ca="1" si="65"/>
        <v/>
      </c>
      <c r="BF30" s="31" t="str">
        <f t="shared" ca="1" si="65"/>
        <v/>
      </c>
      <c r="BG30" s="31" t="str">
        <f t="shared" ca="1" si="65"/>
        <v/>
      </c>
      <c r="BH30" s="31" t="str">
        <f t="shared" ca="1" si="65"/>
        <v/>
      </c>
      <c r="BI30" s="31" t="str">
        <f t="shared" ca="1" si="65"/>
        <v/>
      </c>
      <c r="BJ30" s="31" t="str">
        <f t="shared" ca="1" si="65"/>
        <v/>
      </c>
      <c r="BK30" s="31" t="str">
        <f t="shared" ca="1" si="65"/>
        <v/>
      </c>
      <c r="BL30" s="31" t="str">
        <f t="shared" ca="1" si="65"/>
        <v/>
      </c>
      <c r="BM30" s="31" t="str">
        <f t="shared" ca="1" si="65"/>
        <v/>
      </c>
      <c r="BN30" s="31" t="str">
        <f t="shared" ca="1" si="65"/>
        <v/>
      </c>
      <c r="BO30" s="31" t="str">
        <f t="shared" ca="1" si="65"/>
        <v/>
      </c>
      <c r="BP30" s="31" t="str">
        <f t="shared" ca="1" si="65"/>
        <v/>
      </c>
      <c r="BQ30" s="31" t="str">
        <f t="shared" ca="1" si="65"/>
        <v/>
      </c>
      <c r="BR30" s="31" t="str">
        <f t="shared" ca="1" si="65"/>
        <v/>
      </c>
      <c r="BS30" s="31" t="str">
        <f t="shared" ca="1" si="67"/>
        <v/>
      </c>
      <c r="BT30" s="31" t="str">
        <f t="shared" ca="1" si="67"/>
        <v/>
      </c>
      <c r="BU30" s="31" t="str">
        <f t="shared" ca="1" si="67"/>
        <v/>
      </c>
      <c r="BV30" s="31" t="str">
        <f t="shared" ca="1" si="67"/>
        <v/>
      </c>
      <c r="BW30" s="31" t="str">
        <f t="shared" ca="1" si="67"/>
        <v/>
      </c>
      <c r="BX30" s="31" t="str">
        <f t="shared" ca="1" si="67"/>
        <v/>
      </c>
      <c r="BY30" s="31" t="str">
        <f t="shared" ca="1" si="67"/>
        <v/>
      </c>
      <c r="BZ30" s="31" t="str">
        <f t="shared" ca="1" si="67"/>
        <v/>
      </c>
      <c r="CA30" s="31" t="str">
        <f t="shared" ca="1" si="67"/>
        <v/>
      </c>
      <c r="CB30" s="31" t="str">
        <f t="shared" ca="1" si="67"/>
        <v/>
      </c>
      <c r="CC30" s="31" t="str">
        <f t="shared" ca="1" si="67"/>
        <v/>
      </c>
      <c r="CD30" s="31" t="str">
        <f t="shared" ca="1" si="67"/>
        <v/>
      </c>
      <c r="CE30" s="31" t="str">
        <f t="shared" ca="1" si="62"/>
        <v/>
      </c>
      <c r="CF30" s="31" t="str">
        <f t="shared" ca="1" si="62"/>
        <v/>
      </c>
      <c r="CG30" s="31" t="str">
        <f t="shared" ca="1" si="62"/>
        <v/>
      </c>
      <c r="CH30" s="31" t="str">
        <f t="shared" ca="1" si="62"/>
        <v/>
      </c>
      <c r="CI30" s="31" t="str">
        <f t="shared" ca="1" si="62"/>
        <v/>
      </c>
      <c r="CJ30" s="31" t="str">
        <f t="shared" ca="1" si="62"/>
        <v/>
      </c>
      <c r="CK30" s="31" t="str">
        <f t="shared" ca="1" si="62"/>
        <v/>
      </c>
      <c r="CL30" s="31" t="str">
        <f t="shared" ca="1" si="62"/>
        <v/>
      </c>
      <c r="CM30" s="31" t="str">
        <f t="shared" ca="1" si="62"/>
        <v/>
      </c>
      <c r="CN30" s="31" t="str">
        <f t="shared" ca="1" si="62"/>
        <v/>
      </c>
      <c r="CO30" s="31" t="str">
        <f t="shared" ca="1" si="62"/>
        <v/>
      </c>
      <c r="CP30" s="31">
        <f t="shared" ca="1" si="62"/>
        <v>1</v>
      </c>
      <c r="CQ30" s="31">
        <f t="shared" ca="1" si="62"/>
        <v>1</v>
      </c>
      <c r="CR30" s="31">
        <f t="shared" ca="1" si="62"/>
        <v>1</v>
      </c>
      <c r="CS30" s="31">
        <f t="shared" ca="1" si="62"/>
        <v>1</v>
      </c>
      <c r="CT30" s="31">
        <f t="shared" ca="1" si="62"/>
        <v>1</v>
      </c>
      <c r="CU30" s="31" t="str">
        <f t="shared" ca="1" si="62"/>
        <v/>
      </c>
      <c r="CV30" s="31" t="str">
        <f t="shared" ca="1" si="62"/>
        <v/>
      </c>
      <c r="CW30" s="31" t="str">
        <f t="shared" ca="1" si="62"/>
        <v/>
      </c>
      <c r="CX30" s="31" t="str">
        <f t="shared" ca="1" si="62"/>
        <v/>
      </c>
      <c r="CY30" s="31" t="str">
        <f t="shared" ca="1" si="62"/>
        <v/>
      </c>
      <c r="CZ30" s="31" t="str">
        <f t="shared" ca="1" si="62"/>
        <v/>
      </c>
      <c r="DA30" s="31" t="str">
        <f t="shared" ca="1" si="68"/>
        <v/>
      </c>
      <c r="DB30" s="31" t="str">
        <f t="shared" ca="1" si="68"/>
        <v/>
      </c>
    </row>
    <row r="31" spans="1:106" s="2" customFormat="1" ht="21" x14ac:dyDescent="0.4">
      <c r="A31" s="52"/>
      <c r="B31" s="48" t="s">
        <v>65</v>
      </c>
      <c r="C31" s="47" t="s">
        <v>15</v>
      </c>
      <c r="D31" s="47" t="s">
        <v>66</v>
      </c>
      <c r="E31" s="49"/>
      <c r="F31" s="50">
        <f t="shared" si="70"/>
        <v>45966</v>
      </c>
      <c r="G31" s="51">
        <v>3</v>
      </c>
      <c r="H31" s="21"/>
      <c r="I31" s="31" t="str">
        <f t="shared" ca="1" si="69"/>
        <v/>
      </c>
      <c r="J31" s="31" t="str">
        <f t="shared" ca="1" si="69"/>
        <v/>
      </c>
      <c r="K31" s="31" t="str">
        <f t="shared" ca="1" si="69"/>
        <v/>
      </c>
      <c r="L31" s="31" t="str">
        <f t="shared" ca="1" si="69"/>
        <v/>
      </c>
      <c r="M31" s="31" t="str">
        <f t="shared" ca="1" si="69"/>
        <v/>
      </c>
      <c r="N31" s="31" t="str">
        <f t="shared" ca="1" si="69"/>
        <v/>
      </c>
      <c r="O31" s="31" t="str">
        <f t="shared" ca="1" si="69"/>
        <v/>
      </c>
      <c r="P31" s="31" t="str">
        <f t="shared" ca="1" si="69"/>
        <v/>
      </c>
      <c r="Q31" s="31" t="str">
        <f t="shared" ca="1" si="69"/>
        <v/>
      </c>
      <c r="R31" s="31" t="str">
        <f t="shared" ca="1" si="69"/>
        <v/>
      </c>
      <c r="S31" s="31" t="str">
        <f t="shared" ca="1" si="69"/>
        <v/>
      </c>
      <c r="T31" s="31" t="str">
        <f t="shared" ca="1" si="69"/>
        <v/>
      </c>
      <c r="U31" s="31" t="str">
        <f t="shared" ca="1" si="69"/>
        <v/>
      </c>
      <c r="V31" s="31" t="str">
        <f t="shared" ca="1" si="69"/>
        <v/>
      </c>
      <c r="W31" s="31" t="str">
        <f t="shared" ca="1" si="69"/>
        <v/>
      </c>
      <c r="X31" s="31" t="str">
        <f t="shared" ca="1" si="69"/>
        <v/>
      </c>
      <c r="Y31" s="31" t="str">
        <f t="shared" ca="1" si="66"/>
        <v/>
      </c>
      <c r="Z31" s="31" t="str">
        <f t="shared" ca="1" si="66"/>
        <v/>
      </c>
      <c r="AA31" s="31" t="str">
        <f t="shared" ca="1" si="66"/>
        <v/>
      </c>
      <c r="AB31" s="31" t="str">
        <f t="shared" ca="1" si="66"/>
        <v/>
      </c>
      <c r="AC31" s="31" t="str">
        <f t="shared" ca="1" si="66"/>
        <v/>
      </c>
      <c r="AD31" s="31" t="str">
        <f t="shared" ca="1" si="66"/>
        <v/>
      </c>
      <c r="AE31" s="31" t="str">
        <f t="shared" ca="1" si="60"/>
        <v/>
      </c>
      <c r="AF31" s="31" t="str">
        <f t="shared" ca="1" si="66"/>
        <v/>
      </c>
      <c r="AG31" s="31" t="str">
        <f t="shared" ca="1" si="66"/>
        <v/>
      </c>
      <c r="AH31" s="31" t="str">
        <f t="shared" ca="1" si="66"/>
        <v/>
      </c>
      <c r="AI31" s="31" t="str">
        <f t="shared" ca="1" si="66"/>
        <v/>
      </c>
      <c r="AJ31" s="31" t="str">
        <f t="shared" ca="1" si="66"/>
        <v/>
      </c>
      <c r="AK31" s="31" t="str">
        <f t="shared" ca="1" si="66"/>
        <v/>
      </c>
      <c r="AL31" s="31" t="str">
        <f t="shared" ca="1" si="66"/>
        <v/>
      </c>
      <c r="AM31" s="31" t="str">
        <f t="shared" ca="1" si="66"/>
        <v/>
      </c>
      <c r="AN31" s="31" t="str">
        <f t="shared" ca="1" si="64"/>
        <v/>
      </c>
      <c r="AO31" s="31" t="str">
        <f t="shared" ca="1" si="64"/>
        <v/>
      </c>
      <c r="AP31" s="31" t="str">
        <f t="shared" ca="1" si="64"/>
        <v/>
      </c>
      <c r="AQ31" s="31" t="str">
        <f t="shared" ca="1" si="64"/>
        <v/>
      </c>
      <c r="AR31" s="31" t="str">
        <f t="shared" ca="1" si="64"/>
        <v/>
      </c>
      <c r="AS31" s="31" t="str">
        <f t="shared" ca="1" si="64"/>
        <v/>
      </c>
      <c r="AT31" s="31" t="str">
        <f t="shared" ca="1" si="64"/>
        <v/>
      </c>
      <c r="AU31" s="31" t="str">
        <f t="shared" ca="1" si="64"/>
        <v/>
      </c>
      <c r="AV31" s="31" t="str">
        <f t="shared" ca="1" si="64"/>
        <v/>
      </c>
      <c r="AW31" s="31" t="str">
        <f t="shared" ca="1" si="64"/>
        <v/>
      </c>
      <c r="AX31" s="31" t="str">
        <f t="shared" ca="1" si="64"/>
        <v/>
      </c>
      <c r="AY31" s="31" t="str">
        <f t="shared" ca="1" si="64"/>
        <v/>
      </c>
      <c r="AZ31" s="31" t="str">
        <f t="shared" ca="1" si="64"/>
        <v/>
      </c>
      <c r="BA31" s="31" t="str">
        <f t="shared" ca="1" si="64"/>
        <v/>
      </c>
      <c r="BB31" s="31" t="str">
        <f t="shared" ca="1" si="64"/>
        <v/>
      </c>
      <c r="BC31" s="31" t="str">
        <f t="shared" ca="1" si="64"/>
        <v/>
      </c>
      <c r="BD31" s="31" t="str">
        <f t="shared" ca="1" si="65"/>
        <v/>
      </c>
      <c r="BE31" s="31" t="str">
        <f t="shared" ca="1" si="65"/>
        <v/>
      </c>
      <c r="BF31" s="31" t="str">
        <f t="shared" ca="1" si="65"/>
        <v/>
      </c>
      <c r="BG31" s="31" t="str">
        <f t="shared" ca="1" si="65"/>
        <v/>
      </c>
      <c r="BH31" s="31" t="str">
        <f t="shared" ca="1" si="65"/>
        <v/>
      </c>
      <c r="BI31" s="31" t="str">
        <f t="shared" ca="1" si="65"/>
        <v/>
      </c>
      <c r="BJ31" s="31" t="str">
        <f t="shared" ca="1" si="65"/>
        <v/>
      </c>
      <c r="BK31" s="31" t="str">
        <f t="shared" ca="1" si="65"/>
        <v/>
      </c>
      <c r="BL31" s="31" t="str">
        <f t="shared" ca="1" si="65"/>
        <v/>
      </c>
      <c r="BM31" s="31" t="str">
        <f t="shared" ca="1" si="65"/>
        <v/>
      </c>
      <c r="BN31" s="31" t="str">
        <f t="shared" ca="1" si="65"/>
        <v/>
      </c>
      <c r="BO31" s="31" t="str">
        <f t="shared" ca="1" si="65"/>
        <v/>
      </c>
      <c r="BP31" s="31" t="str">
        <f t="shared" ca="1" si="65"/>
        <v/>
      </c>
      <c r="BQ31" s="31" t="str">
        <f t="shared" ca="1" si="65"/>
        <v/>
      </c>
      <c r="BR31" s="31" t="str">
        <f t="shared" ca="1" si="65"/>
        <v/>
      </c>
      <c r="BS31" s="31" t="str">
        <f t="shared" ca="1" si="67"/>
        <v/>
      </c>
      <c r="BT31" s="31" t="str">
        <f t="shared" ca="1" si="67"/>
        <v/>
      </c>
      <c r="BU31" s="31" t="str">
        <f t="shared" ca="1" si="67"/>
        <v/>
      </c>
      <c r="BV31" s="31" t="str">
        <f t="shared" ca="1" si="67"/>
        <v/>
      </c>
      <c r="BW31" s="31" t="str">
        <f t="shared" ca="1" si="67"/>
        <v/>
      </c>
      <c r="BX31" s="31" t="str">
        <f t="shared" ca="1" si="67"/>
        <v/>
      </c>
      <c r="BY31" s="31" t="str">
        <f t="shared" ca="1" si="67"/>
        <v/>
      </c>
      <c r="BZ31" s="31" t="str">
        <f t="shared" ca="1" si="67"/>
        <v/>
      </c>
      <c r="CA31" s="31" t="str">
        <f t="shared" ca="1" si="67"/>
        <v/>
      </c>
      <c r="CB31" s="31" t="str">
        <f t="shared" ca="1" si="67"/>
        <v/>
      </c>
      <c r="CC31" s="31" t="str">
        <f t="shared" ca="1" si="67"/>
        <v/>
      </c>
      <c r="CD31" s="31" t="str">
        <f t="shared" ca="1" si="67"/>
        <v/>
      </c>
      <c r="CE31" s="31" t="str">
        <f t="shared" ca="1" si="62"/>
        <v/>
      </c>
      <c r="CF31" s="31" t="str">
        <f t="shared" ca="1" si="62"/>
        <v/>
      </c>
      <c r="CG31" s="31" t="str">
        <f t="shared" ca="1" si="62"/>
        <v/>
      </c>
      <c r="CH31" s="31" t="str">
        <f t="shared" ca="1" si="62"/>
        <v/>
      </c>
      <c r="CI31" s="31" t="str">
        <f t="shared" ca="1" si="62"/>
        <v/>
      </c>
      <c r="CJ31" s="31" t="str">
        <f t="shared" ca="1" si="62"/>
        <v/>
      </c>
      <c r="CK31" s="31" t="str">
        <f t="shared" ca="1" si="62"/>
        <v/>
      </c>
      <c r="CL31" s="31" t="str">
        <f t="shared" ca="1" si="62"/>
        <v/>
      </c>
      <c r="CM31" s="31" t="str">
        <f t="shared" ca="1" si="62"/>
        <v/>
      </c>
      <c r="CN31" s="31" t="str">
        <f t="shared" ca="1" si="62"/>
        <v/>
      </c>
      <c r="CO31" s="31" t="str">
        <f t="shared" ca="1" si="62"/>
        <v/>
      </c>
      <c r="CP31" s="31" t="str">
        <f t="shared" ca="1" si="62"/>
        <v/>
      </c>
      <c r="CQ31" s="31" t="str">
        <f t="shared" ca="1" si="62"/>
        <v/>
      </c>
      <c r="CR31" s="31" t="str">
        <f t="shared" ca="1" si="62"/>
        <v/>
      </c>
      <c r="CS31" s="31" t="str">
        <f t="shared" ref="CE31:DA33" ca="1" si="71">IF(AND($C31="Objetivo",CS$5&gt;=$F31,CS$5&lt;=$F31+$G31-1),2,IF(AND($C31="Hito",CS$5&gt;=$F31,CS$5&lt;=$F31+$G31-1),1,""))</f>
        <v/>
      </c>
      <c r="CT31" s="31" t="str">
        <f t="shared" ca="1" si="71"/>
        <v/>
      </c>
      <c r="CU31" s="31">
        <f t="shared" ca="1" si="71"/>
        <v>2</v>
      </c>
      <c r="CV31" s="31">
        <f t="shared" ca="1" si="71"/>
        <v>2</v>
      </c>
      <c r="CW31" s="31">
        <f t="shared" ca="1" si="71"/>
        <v>2</v>
      </c>
      <c r="CX31" s="31" t="str">
        <f t="shared" ca="1" si="71"/>
        <v/>
      </c>
      <c r="CY31" s="31" t="str">
        <f t="shared" ca="1" si="71"/>
        <v/>
      </c>
      <c r="CZ31" s="31" t="str">
        <f t="shared" ca="1" si="71"/>
        <v/>
      </c>
      <c r="DA31" s="31" t="str">
        <f t="shared" ca="1" si="71"/>
        <v/>
      </c>
      <c r="DB31" s="31" t="str">
        <f t="shared" ca="1" si="68"/>
        <v/>
      </c>
    </row>
    <row r="32" spans="1:106" s="2" customFormat="1" ht="42" x14ac:dyDescent="0.4">
      <c r="A32" s="52"/>
      <c r="B32" s="48" t="s">
        <v>67</v>
      </c>
      <c r="C32" s="47" t="s">
        <v>17</v>
      </c>
      <c r="D32" s="47" t="s">
        <v>52</v>
      </c>
      <c r="E32" s="49"/>
      <c r="F32" s="50">
        <f>F31+G31</f>
        <v>45969</v>
      </c>
      <c r="G32" s="51">
        <v>4</v>
      </c>
      <c r="H32" s="21"/>
      <c r="I32" s="31" t="str">
        <f t="shared" ca="1" si="69"/>
        <v/>
      </c>
      <c r="J32" s="31" t="str">
        <f t="shared" ca="1" si="69"/>
        <v/>
      </c>
      <c r="K32" s="31" t="str">
        <f t="shared" ca="1" si="69"/>
        <v/>
      </c>
      <c r="L32" s="31" t="str">
        <f t="shared" ca="1" si="69"/>
        <v/>
      </c>
      <c r="M32" s="31" t="str">
        <f t="shared" ca="1" si="69"/>
        <v/>
      </c>
      <c r="N32" s="31" t="str">
        <f t="shared" ca="1" si="69"/>
        <v/>
      </c>
      <c r="O32" s="31" t="str">
        <f t="shared" ca="1" si="69"/>
        <v/>
      </c>
      <c r="P32" s="31" t="str">
        <f t="shared" ca="1" si="69"/>
        <v/>
      </c>
      <c r="Q32" s="31" t="str">
        <f t="shared" ca="1" si="69"/>
        <v/>
      </c>
      <c r="R32" s="31" t="str">
        <f t="shared" ca="1" si="69"/>
        <v/>
      </c>
      <c r="S32" s="31" t="str">
        <f t="shared" ca="1" si="69"/>
        <v/>
      </c>
      <c r="T32" s="31" t="str">
        <f t="shared" ca="1" si="69"/>
        <v/>
      </c>
      <c r="U32" s="31" t="str">
        <f t="shared" ca="1" si="69"/>
        <v/>
      </c>
      <c r="V32" s="31" t="str">
        <f t="shared" ca="1" si="69"/>
        <v/>
      </c>
      <c r="W32" s="31" t="str">
        <f t="shared" ca="1" si="69"/>
        <v/>
      </c>
      <c r="X32" s="31" t="str">
        <f t="shared" ca="1" si="69"/>
        <v/>
      </c>
      <c r="Y32" s="31" t="str">
        <f t="shared" ca="1" si="66"/>
        <v/>
      </c>
      <c r="Z32" s="31" t="str">
        <f t="shared" ca="1" si="66"/>
        <v/>
      </c>
      <c r="AA32" s="31" t="str">
        <f t="shared" ca="1" si="66"/>
        <v/>
      </c>
      <c r="AB32" s="31" t="str">
        <f t="shared" ca="1" si="66"/>
        <v/>
      </c>
      <c r="AC32" s="31" t="str">
        <f t="shared" ca="1" si="66"/>
        <v/>
      </c>
      <c r="AD32" s="31" t="str">
        <f t="shared" ca="1" si="66"/>
        <v/>
      </c>
      <c r="AE32" s="31" t="str">
        <f t="shared" ca="1" si="60"/>
        <v/>
      </c>
      <c r="AF32" s="31" t="str">
        <f t="shared" ca="1" si="66"/>
        <v/>
      </c>
      <c r="AG32" s="31" t="str">
        <f t="shared" ca="1" si="66"/>
        <v/>
      </c>
      <c r="AH32" s="31" t="str">
        <f t="shared" ca="1" si="66"/>
        <v/>
      </c>
      <c r="AI32" s="31" t="str">
        <f t="shared" ca="1" si="66"/>
        <v/>
      </c>
      <c r="AJ32" s="31" t="str">
        <f t="shared" ca="1" si="66"/>
        <v/>
      </c>
      <c r="AK32" s="31" t="str">
        <f t="shared" ca="1" si="66"/>
        <v/>
      </c>
      <c r="AL32" s="31" t="str">
        <f t="shared" ca="1" si="66"/>
        <v/>
      </c>
      <c r="AM32" s="31" t="str">
        <f t="shared" ca="1" si="66"/>
        <v/>
      </c>
      <c r="AN32" s="31" t="str">
        <f t="shared" ca="1" si="64"/>
        <v/>
      </c>
      <c r="AO32" s="31" t="str">
        <f t="shared" ca="1" si="64"/>
        <v/>
      </c>
      <c r="AP32" s="31" t="str">
        <f t="shared" ca="1" si="64"/>
        <v/>
      </c>
      <c r="AQ32" s="31" t="str">
        <f t="shared" ca="1" si="64"/>
        <v/>
      </c>
      <c r="AR32" s="31" t="str">
        <f t="shared" ca="1" si="64"/>
        <v/>
      </c>
      <c r="AS32" s="31" t="str">
        <f t="shared" ca="1" si="64"/>
        <v/>
      </c>
      <c r="AT32" s="31" t="str">
        <f t="shared" ca="1" si="64"/>
        <v/>
      </c>
      <c r="AU32" s="31" t="str">
        <f t="shared" ca="1" si="64"/>
        <v/>
      </c>
      <c r="AV32" s="31" t="str">
        <f t="shared" ca="1" si="64"/>
        <v/>
      </c>
      <c r="AW32" s="31" t="str">
        <f t="shared" ca="1" si="64"/>
        <v/>
      </c>
      <c r="AX32" s="31" t="str">
        <f t="shared" ca="1" si="64"/>
        <v/>
      </c>
      <c r="AY32" s="31" t="str">
        <f t="shared" ca="1" si="64"/>
        <v/>
      </c>
      <c r="AZ32" s="31" t="str">
        <f t="shared" ca="1" si="64"/>
        <v/>
      </c>
      <c r="BA32" s="31" t="str">
        <f t="shared" ca="1" si="64"/>
        <v/>
      </c>
      <c r="BB32" s="31" t="str">
        <f t="shared" ca="1" si="64"/>
        <v/>
      </c>
      <c r="BC32" s="31" t="str">
        <f t="shared" ca="1" si="64"/>
        <v/>
      </c>
      <c r="BD32" s="31" t="str">
        <f t="shared" ca="1" si="65"/>
        <v/>
      </c>
      <c r="BE32" s="31" t="str">
        <f t="shared" ca="1" si="65"/>
        <v/>
      </c>
      <c r="BF32" s="31" t="str">
        <f t="shared" ca="1" si="65"/>
        <v/>
      </c>
      <c r="BG32" s="31" t="str">
        <f t="shared" ca="1" si="65"/>
        <v/>
      </c>
      <c r="BH32" s="31" t="str">
        <f t="shared" ca="1" si="65"/>
        <v/>
      </c>
      <c r="BI32" s="31" t="str">
        <f t="shared" ca="1" si="65"/>
        <v/>
      </c>
      <c r="BJ32" s="31" t="str">
        <f t="shared" ca="1" si="65"/>
        <v/>
      </c>
      <c r="BK32" s="31" t="str">
        <f t="shared" ca="1" si="65"/>
        <v/>
      </c>
      <c r="BL32" s="31" t="str">
        <f t="shared" ca="1" si="65"/>
        <v/>
      </c>
      <c r="BM32" s="31" t="str">
        <f t="shared" ca="1" si="65"/>
        <v/>
      </c>
      <c r="BN32" s="31" t="str">
        <f t="shared" ca="1" si="65"/>
        <v/>
      </c>
      <c r="BO32" s="31" t="str">
        <f t="shared" ca="1" si="65"/>
        <v/>
      </c>
      <c r="BP32" s="31" t="str">
        <f t="shared" ca="1" si="65"/>
        <v/>
      </c>
      <c r="BQ32" s="31" t="str">
        <f t="shared" ca="1" si="65"/>
        <v/>
      </c>
      <c r="BR32" s="31" t="str">
        <f t="shared" ca="1" si="65"/>
        <v/>
      </c>
      <c r="BS32" s="31" t="str">
        <f t="shared" ca="1" si="67"/>
        <v/>
      </c>
      <c r="BT32" s="31" t="str">
        <f t="shared" ca="1" si="67"/>
        <v/>
      </c>
      <c r="BU32" s="31" t="str">
        <f t="shared" ca="1" si="67"/>
        <v/>
      </c>
      <c r="BV32" s="31" t="str">
        <f t="shared" ca="1" si="67"/>
        <v/>
      </c>
      <c r="BW32" s="31" t="str">
        <f t="shared" ca="1" si="67"/>
        <v/>
      </c>
      <c r="BX32" s="31" t="str">
        <f t="shared" ca="1" si="67"/>
        <v/>
      </c>
      <c r="BY32" s="31" t="str">
        <f t="shared" ca="1" si="67"/>
        <v/>
      </c>
      <c r="BZ32" s="31" t="str">
        <f t="shared" ca="1" si="67"/>
        <v/>
      </c>
      <c r="CA32" s="31" t="str">
        <f t="shared" ca="1" si="67"/>
        <v/>
      </c>
      <c r="CB32" s="31" t="str">
        <f t="shared" ca="1" si="67"/>
        <v/>
      </c>
      <c r="CC32" s="31" t="str">
        <f t="shared" ca="1" si="67"/>
        <v/>
      </c>
      <c r="CD32" s="31" t="str">
        <f t="shared" ca="1" si="67"/>
        <v/>
      </c>
      <c r="CE32" s="31" t="str">
        <f t="shared" ca="1" si="71"/>
        <v/>
      </c>
      <c r="CF32" s="31" t="str">
        <f t="shared" ca="1" si="71"/>
        <v/>
      </c>
      <c r="CG32" s="31" t="str">
        <f t="shared" ca="1" si="71"/>
        <v/>
      </c>
      <c r="CH32" s="31" t="str">
        <f t="shared" ca="1" si="71"/>
        <v/>
      </c>
      <c r="CI32" s="31" t="str">
        <f t="shared" ca="1" si="71"/>
        <v/>
      </c>
      <c r="CJ32" s="31" t="str">
        <f t="shared" ca="1" si="71"/>
        <v/>
      </c>
      <c r="CK32" s="31" t="str">
        <f t="shared" ca="1" si="71"/>
        <v/>
      </c>
      <c r="CL32" s="31" t="str">
        <f t="shared" ca="1" si="71"/>
        <v/>
      </c>
      <c r="CM32" s="31" t="str">
        <f t="shared" ca="1" si="71"/>
        <v/>
      </c>
      <c r="CN32" s="31" t="str">
        <f t="shared" ca="1" si="71"/>
        <v/>
      </c>
      <c r="CO32" s="31" t="str">
        <f t="shared" ca="1" si="71"/>
        <v/>
      </c>
      <c r="CP32" s="31" t="str">
        <f t="shared" ca="1" si="71"/>
        <v/>
      </c>
      <c r="CQ32" s="31" t="str">
        <f t="shared" ca="1" si="71"/>
        <v/>
      </c>
      <c r="CR32" s="31" t="str">
        <f t="shared" ca="1" si="71"/>
        <v/>
      </c>
      <c r="CS32" s="31" t="str">
        <f t="shared" ca="1" si="71"/>
        <v/>
      </c>
      <c r="CT32" s="31" t="str">
        <f t="shared" ca="1" si="71"/>
        <v/>
      </c>
      <c r="CU32" s="31" t="str">
        <f t="shared" ca="1" si="71"/>
        <v/>
      </c>
      <c r="CV32" s="31" t="str">
        <f t="shared" ca="1" si="71"/>
        <v/>
      </c>
      <c r="CW32" s="31" t="str">
        <f t="shared" ca="1" si="71"/>
        <v/>
      </c>
      <c r="CX32" s="31" t="str">
        <f t="shared" ca="1" si="71"/>
        <v/>
      </c>
      <c r="CY32" s="31" t="str">
        <f t="shared" ca="1" si="71"/>
        <v/>
      </c>
      <c r="CZ32" s="31" t="str">
        <f t="shared" ca="1" si="71"/>
        <v/>
      </c>
      <c r="DA32" s="31" t="str">
        <f t="shared" ca="1" si="68"/>
        <v/>
      </c>
      <c r="DB32" s="31" t="str">
        <f t="shared" ca="1" si="68"/>
        <v/>
      </c>
    </row>
    <row r="33" spans="1:106" s="2" customFormat="1" ht="14.4" x14ac:dyDescent="0.3">
      <c r="A33" s="14" t="s">
        <v>9</v>
      </c>
      <c r="B33" s="44"/>
      <c r="C33" s="28"/>
      <c r="D33" s="28"/>
      <c r="E33" s="25"/>
      <c r="F33" s="26"/>
      <c r="G33" s="27"/>
      <c r="H33" s="21"/>
      <c r="I33" s="31" t="str">
        <f t="shared" ca="1" si="69"/>
        <v/>
      </c>
      <c r="J33" s="31" t="str">
        <f t="shared" ca="1" si="69"/>
        <v/>
      </c>
      <c r="K33" s="31" t="str">
        <f t="shared" ca="1" si="69"/>
        <v/>
      </c>
      <c r="L33" s="31" t="str">
        <f t="shared" ca="1" si="69"/>
        <v/>
      </c>
      <c r="M33" s="31" t="str">
        <f t="shared" ca="1" si="69"/>
        <v/>
      </c>
      <c r="N33" s="31" t="str">
        <f t="shared" ca="1" si="69"/>
        <v/>
      </c>
      <c r="O33" s="31" t="str">
        <f t="shared" ca="1" si="69"/>
        <v/>
      </c>
      <c r="P33" s="31" t="str">
        <f t="shared" ca="1" si="69"/>
        <v/>
      </c>
      <c r="Q33" s="31" t="str">
        <f t="shared" ca="1" si="69"/>
        <v/>
      </c>
      <c r="R33" s="31" t="str">
        <f t="shared" ca="1" si="69"/>
        <v/>
      </c>
      <c r="S33" s="31" t="str">
        <f t="shared" ca="1" si="69"/>
        <v/>
      </c>
      <c r="T33" s="31" t="str">
        <f t="shared" ca="1" si="69"/>
        <v/>
      </c>
      <c r="U33" s="31" t="str">
        <f t="shared" ca="1" si="69"/>
        <v/>
      </c>
      <c r="V33" s="31" t="str">
        <f t="shared" ca="1" si="69"/>
        <v/>
      </c>
      <c r="W33" s="31" t="str">
        <f t="shared" ca="1" si="69"/>
        <v/>
      </c>
      <c r="X33" s="31" t="str">
        <f t="shared" ca="1" si="69"/>
        <v/>
      </c>
      <c r="Y33" s="31" t="str">
        <f t="shared" ca="1" si="66"/>
        <v/>
      </c>
      <c r="Z33" s="31" t="str">
        <f t="shared" ca="1" si="66"/>
        <v/>
      </c>
      <c r="AA33" s="31" t="str">
        <f t="shared" ca="1" si="66"/>
        <v/>
      </c>
      <c r="AB33" s="31" t="str">
        <f t="shared" ca="1" si="66"/>
        <v/>
      </c>
      <c r="AC33" s="31" t="str">
        <f t="shared" ca="1" si="66"/>
        <v/>
      </c>
      <c r="AD33" s="31" t="str">
        <f t="shared" ca="1" si="66"/>
        <v/>
      </c>
      <c r="AE33" s="31" t="str">
        <f t="shared" ca="1" si="60"/>
        <v/>
      </c>
      <c r="AF33" s="31" t="str">
        <f t="shared" ca="1" si="66"/>
        <v/>
      </c>
      <c r="AG33" s="31" t="str">
        <f t="shared" ca="1" si="66"/>
        <v/>
      </c>
      <c r="AH33" s="31" t="str">
        <f t="shared" ca="1" si="66"/>
        <v/>
      </c>
      <c r="AI33" s="31" t="str">
        <f t="shared" ca="1" si="66"/>
        <v/>
      </c>
      <c r="AJ33" s="31" t="str">
        <f t="shared" ca="1" si="66"/>
        <v/>
      </c>
      <c r="AK33" s="31" t="str">
        <f t="shared" ca="1" si="66"/>
        <v/>
      </c>
      <c r="AL33" s="31" t="str">
        <f t="shared" ca="1" si="66"/>
        <v/>
      </c>
      <c r="AM33" s="31" t="str">
        <f t="shared" ca="1" si="66"/>
        <v/>
      </c>
      <c r="AN33" s="31" t="str">
        <f t="shared" ca="1" si="64"/>
        <v/>
      </c>
      <c r="AO33" s="31" t="str">
        <f t="shared" ca="1" si="64"/>
        <v/>
      </c>
      <c r="AP33" s="31" t="str">
        <f t="shared" ca="1" si="64"/>
        <v/>
      </c>
      <c r="AQ33" s="31" t="str">
        <f t="shared" ca="1" si="64"/>
        <v/>
      </c>
      <c r="AR33" s="31" t="str">
        <f t="shared" ca="1" si="64"/>
        <v/>
      </c>
      <c r="AS33" s="31" t="str">
        <f t="shared" ca="1" si="64"/>
        <v/>
      </c>
      <c r="AT33" s="31" t="str">
        <f t="shared" ca="1" si="64"/>
        <v/>
      </c>
      <c r="AU33" s="31" t="str">
        <f t="shared" ca="1" si="64"/>
        <v/>
      </c>
      <c r="AV33" s="31" t="str">
        <f t="shared" ca="1" si="64"/>
        <v/>
      </c>
      <c r="AW33" s="31" t="str">
        <f t="shared" ca="1" si="64"/>
        <v/>
      </c>
      <c r="AX33" s="31" t="str">
        <f t="shared" ca="1" si="64"/>
        <v/>
      </c>
      <c r="AY33" s="31" t="str">
        <f t="shared" ca="1" si="64"/>
        <v/>
      </c>
      <c r="AZ33" s="31" t="str">
        <f t="shared" ca="1" si="64"/>
        <v/>
      </c>
      <c r="BA33" s="31" t="str">
        <f t="shared" ca="1" si="64"/>
        <v/>
      </c>
      <c r="BB33" s="31" t="str">
        <f t="shared" ca="1" si="64"/>
        <v/>
      </c>
      <c r="BC33" s="31" t="str">
        <f t="shared" ca="1" si="64"/>
        <v/>
      </c>
      <c r="BD33" s="31" t="str">
        <f t="shared" ca="1" si="65"/>
        <v/>
      </c>
      <c r="BE33" s="31" t="str">
        <f t="shared" ca="1" si="65"/>
        <v/>
      </c>
      <c r="BF33" s="31" t="str">
        <f t="shared" ca="1" si="65"/>
        <v/>
      </c>
      <c r="BG33" s="31" t="str">
        <f t="shared" ca="1" si="65"/>
        <v/>
      </c>
      <c r="BH33" s="31" t="str">
        <f t="shared" ca="1" si="65"/>
        <v/>
      </c>
      <c r="BI33" s="31" t="str">
        <f t="shared" ca="1" si="65"/>
        <v/>
      </c>
      <c r="BJ33" s="31" t="str">
        <f t="shared" ca="1" si="65"/>
        <v/>
      </c>
      <c r="BK33" s="31" t="str">
        <f t="shared" ca="1" si="65"/>
        <v/>
      </c>
      <c r="BL33" s="31" t="str">
        <f t="shared" ca="1" si="65"/>
        <v/>
      </c>
      <c r="BM33" s="31" t="str">
        <f t="shared" ca="1" si="65"/>
        <v/>
      </c>
      <c r="BN33" s="31" t="str">
        <f t="shared" ca="1" si="65"/>
        <v/>
      </c>
      <c r="BO33" s="31" t="str">
        <f t="shared" ca="1" si="65"/>
        <v/>
      </c>
      <c r="BP33" s="31" t="str">
        <f t="shared" ca="1" si="65"/>
        <v/>
      </c>
      <c r="BQ33" s="31" t="str">
        <f t="shared" ca="1" si="65"/>
        <v/>
      </c>
      <c r="BR33" s="31" t="str">
        <f t="shared" ca="1" si="65"/>
        <v/>
      </c>
      <c r="BS33" s="31" t="str">
        <f t="shared" ca="1" si="67"/>
        <v/>
      </c>
      <c r="BT33" s="31" t="str">
        <f t="shared" ca="1" si="67"/>
        <v/>
      </c>
      <c r="BU33" s="31" t="str">
        <f t="shared" ca="1" si="67"/>
        <v/>
      </c>
      <c r="BV33" s="31" t="str">
        <f t="shared" ca="1" si="67"/>
        <v/>
      </c>
      <c r="BW33" s="31" t="str">
        <f t="shared" ca="1" si="67"/>
        <v/>
      </c>
      <c r="BX33" s="31" t="str">
        <f t="shared" ca="1" si="67"/>
        <v/>
      </c>
      <c r="BY33" s="31" t="str">
        <f t="shared" ca="1" si="67"/>
        <v/>
      </c>
      <c r="BZ33" s="31" t="str">
        <f t="shared" ca="1" si="67"/>
        <v/>
      </c>
      <c r="CA33" s="31" t="str">
        <f t="shared" ca="1" si="67"/>
        <v/>
      </c>
      <c r="CB33" s="31" t="str">
        <f t="shared" ca="1" si="67"/>
        <v/>
      </c>
      <c r="CC33" s="31" t="str">
        <f t="shared" ca="1" si="67"/>
        <v/>
      </c>
      <c r="CD33" s="31" t="str">
        <f t="shared" ca="1" si="67"/>
        <v/>
      </c>
      <c r="CE33" s="31" t="str">
        <f t="shared" ca="1" si="71"/>
        <v/>
      </c>
      <c r="CF33" s="31" t="str">
        <f t="shared" ca="1" si="71"/>
        <v/>
      </c>
      <c r="CG33" s="31" t="str">
        <f t="shared" ca="1" si="71"/>
        <v/>
      </c>
      <c r="CH33" s="31" t="str">
        <f t="shared" ca="1" si="71"/>
        <v/>
      </c>
      <c r="CI33" s="31" t="str">
        <f t="shared" ca="1" si="71"/>
        <v/>
      </c>
      <c r="CJ33" s="31" t="str">
        <f t="shared" ca="1" si="71"/>
        <v/>
      </c>
      <c r="CK33" s="31" t="str">
        <f t="shared" ca="1" si="71"/>
        <v/>
      </c>
      <c r="CL33" s="31" t="str">
        <f t="shared" ca="1" si="71"/>
        <v/>
      </c>
      <c r="CM33" s="31" t="str">
        <f t="shared" ca="1" si="71"/>
        <v/>
      </c>
      <c r="CN33" s="31" t="str">
        <f t="shared" ca="1" si="71"/>
        <v/>
      </c>
      <c r="CO33" s="31" t="str">
        <f t="shared" ca="1" si="71"/>
        <v/>
      </c>
      <c r="CP33" s="31" t="str">
        <f t="shared" ca="1" si="71"/>
        <v/>
      </c>
      <c r="CQ33" s="31" t="str">
        <f t="shared" ca="1" si="71"/>
        <v/>
      </c>
      <c r="CR33" s="31" t="str">
        <f t="shared" ca="1" si="71"/>
        <v/>
      </c>
      <c r="CS33" s="31" t="str">
        <f t="shared" ca="1" si="71"/>
        <v/>
      </c>
      <c r="CT33" s="31" t="str">
        <f t="shared" ca="1" si="71"/>
        <v/>
      </c>
      <c r="CU33" s="31" t="str">
        <f t="shared" ca="1" si="71"/>
        <v/>
      </c>
      <c r="CV33" s="31" t="str">
        <f t="shared" ca="1" si="71"/>
        <v/>
      </c>
      <c r="CW33" s="31" t="str">
        <f t="shared" ca="1" si="71"/>
        <v/>
      </c>
      <c r="CX33" s="31" t="str">
        <f t="shared" ca="1" si="71"/>
        <v/>
      </c>
      <c r="CY33" s="31" t="str">
        <f t="shared" ca="1" si="71"/>
        <v/>
      </c>
      <c r="CZ33" s="31" t="str">
        <f t="shared" ca="1" si="71"/>
        <v/>
      </c>
      <c r="DA33" s="31" t="str">
        <f t="shared" ca="1" si="68"/>
        <v/>
      </c>
      <c r="DB33" s="31" t="str">
        <f t="shared" ca="1" si="68"/>
        <v/>
      </c>
    </row>
    <row r="34" spans="1:106" s="2" customFormat="1" ht="19.2" customHeight="1" thickBot="1" x14ac:dyDescent="0.35">
      <c r="A34" s="15" t="s">
        <v>10</v>
      </c>
      <c r="B34" s="19" t="s">
        <v>13</v>
      </c>
      <c r="C34" s="19"/>
      <c r="D34" s="19"/>
      <c r="E34" s="19"/>
      <c r="F34" s="33"/>
      <c r="G34" s="19"/>
      <c r="H34" s="39"/>
      <c r="I34" s="30"/>
      <c r="J34" s="30"/>
      <c r="K34" s="30"/>
      <c r="L34" s="30"/>
      <c r="M34" s="30"/>
      <c r="N34" s="30"/>
      <c r="O34" s="30"/>
      <c r="P34" s="30"/>
      <c r="Q34" s="30"/>
      <c r="R34" s="30"/>
      <c r="S34" s="30"/>
      <c r="T34" s="30"/>
      <c r="U34" s="30"/>
      <c r="V34" s="30"/>
      <c r="W34" s="30"/>
      <c r="X34" s="30"/>
      <c r="Y34" s="30"/>
      <c r="Z34" s="30"/>
      <c r="AA34" s="30"/>
      <c r="AB34" s="30"/>
      <c r="AC34" s="30"/>
      <c r="AD34" s="30"/>
      <c r="AE34" s="30"/>
      <c r="AF34" s="30"/>
      <c r="AG34" s="30"/>
      <c r="AH34" s="30"/>
      <c r="AI34" s="30"/>
      <c r="AJ34" s="30"/>
      <c r="AK34" s="30"/>
      <c r="AL34" s="30"/>
      <c r="AM34" s="30"/>
      <c r="AN34" s="30"/>
      <c r="AO34" s="30"/>
      <c r="AP34" s="30"/>
      <c r="AQ34" s="30"/>
      <c r="AR34" s="30"/>
      <c r="AS34" s="30"/>
      <c r="AT34" s="30"/>
      <c r="AU34" s="30"/>
      <c r="AV34" s="30"/>
      <c r="AW34" s="30"/>
      <c r="AX34" s="30"/>
      <c r="AY34" s="30"/>
      <c r="AZ34" s="30"/>
      <c r="BA34" s="30"/>
      <c r="BB34" s="30"/>
      <c r="BC34" s="30"/>
      <c r="BD34" s="30"/>
      <c r="BE34" s="30"/>
      <c r="BF34" s="30"/>
      <c r="BG34" s="30"/>
      <c r="BH34" s="30"/>
      <c r="BI34" s="30"/>
      <c r="BJ34" s="30"/>
      <c r="BK34" s="30"/>
      <c r="BL34" s="30"/>
      <c r="BM34" s="30"/>
      <c r="BN34" s="30"/>
      <c r="BO34" s="30"/>
      <c r="BP34" s="30"/>
      <c r="BQ34" s="30"/>
      <c r="BR34" s="30"/>
      <c r="BS34" s="30"/>
      <c r="BT34" s="30"/>
      <c r="BU34" s="30"/>
      <c r="BV34" s="30"/>
      <c r="BW34" s="30"/>
      <c r="BX34" s="30"/>
      <c r="BY34" s="30"/>
      <c r="BZ34" s="30"/>
      <c r="CA34" s="30"/>
      <c r="CB34" s="30"/>
      <c r="CC34" s="30"/>
      <c r="CD34" s="30"/>
      <c r="CE34" s="30"/>
      <c r="CF34" s="30"/>
      <c r="CG34" s="30"/>
      <c r="CH34" s="30"/>
      <c r="CI34" s="30"/>
      <c r="CJ34" s="30"/>
      <c r="CK34" s="30"/>
      <c r="CL34" s="30"/>
      <c r="CM34" s="30"/>
      <c r="CN34" s="30"/>
      <c r="CO34" s="30"/>
      <c r="CP34" s="30"/>
      <c r="CQ34" s="30"/>
      <c r="CR34" s="30"/>
      <c r="CS34" s="30"/>
      <c r="CT34" s="30"/>
      <c r="CU34" s="30"/>
      <c r="CV34" s="30"/>
      <c r="CW34" s="30"/>
      <c r="CX34" s="30"/>
      <c r="CY34" s="30"/>
      <c r="CZ34" s="30"/>
      <c r="DA34" s="30"/>
      <c r="DB34" s="30"/>
    </row>
    <row r="35" spans="1:106" ht="30" customHeight="1" x14ac:dyDescent="0.3">
      <c r="D35" s="5"/>
      <c r="G35" s="16"/>
      <c r="H35" s="4"/>
    </row>
    <row r="36" spans="1:106" ht="30" customHeight="1" x14ac:dyDescent="0.3">
      <c r="D36" s="6"/>
    </row>
  </sheetData>
  <mergeCells count="11">
    <mergeCell ref="AJ2:AN2"/>
    <mergeCell ref="AD2:AH2"/>
    <mergeCell ref="W2:AB2"/>
    <mergeCell ref="Q2:U2"/>
    <mergeCell ref="I2:O2"/>
    <mergeCell ref="B2:G2"/>
    <mergeCell ref="D3:E3"/>
    <mergeCell ref="D4:E4"/>
    <mergeCell ref="B5:H5"/>
    <mergeCell ref="F3:G3"/>
    <mergeCell ref="B3:C3"/>
  </mergeCells>
  <conditionalFormatting sqref="E7:E33">
    <cfRule type="dataBar" priority="13">
      <dataBar>
        <cfvo type="num" val="0"/>
        <cfvo type="num" val="1"/>
        <color theme="0" tint="-0.249977111117893"/>
      </dataBar>
      <extLst>
        <ext xmlns:x14="http://schemas.microsoft.com/office/spreadsheetml/2009/9/main" uri="{B025F937-C7B1-47D3-B67F-A62EFF666E3E}">
          <x14:id>{B0389232-4C98-4A03-AD0E-39F63BAD1F53}</x14:id>
        </ext>
      </extLst>
    </cfRule>
  </conditionalFormatting>
  <conditionalFormatting sqref="I4:AM4">
    <cfRule type="expression" dxfId="11" priority="12">
      <formula>I$5&lt;=EOMONTH($I$5,0)</formula>
    </cfRule>
  </conditionalFormatting>
  <conditionalFormatting sqref="I5:DA34">
    <cfRule type="expression" dxfId="10" priority="6">
      <formula>AND(TODAY()&gt;=I$5,TODAY()&lt;J$5)</formula>
    </cfRule>
  </conditionalFormatting>
  <conditionalFormatting sqref="I4:DB4">
    <cfRule type="expression" dxfId="9" priority="7">
      <formula>AND(I$5&lt;=EOMONTH($I$5,1),I$5&gt;EOMONTH($I$5,0))</formula>
    </cfRule>
  </conditionalFormatting>
  <conditionalFormatting sqref="I8:DB33">
    <cfRule type="expression" dxfId="8" priority="91" stopIfTrue="1">
      <formula>AND($C8="Riesgo bajo",I$5&gt;=$F8,I$5&lt;=$F8+$G8-1)</formula>
    </cfRule>
    <cfRule type="expression" dxfId="7" priority="92" stopIfTrue="1">
      <formula>AND($C8="Riesgo alto",I$5&gt;=$F8,I$5&lt;=$F8+$G8-1)</formula>
    </cfRule>
    <cfRule type="expression" dxfId="6" priority="93" stopIfTrue="1">
      <formula>AND($C8="Según lo previsto",I$5&gt;=$F8,I$5&lt;=$F8+$G8-1)</formula>
    </cfRule>
    <cfRule type="expression" dxfId="5" priority="94" stopIfTrue="1">
      <formula>AND($C8="Riesgo medio",I$5&gt;=$F8,I$5&lt;=$F8+$G8-1)</formula>
    </cfRule>
    <cfRule type="expression" dxfId="4" priority="95" stopIfTrue="1">
      <formula>AND(LEN($C8)=0,I$5&gt;=$F8,I$5&lt;=$F8+$G8-1)</formula>
    </cfRule>
  </conditionalFormatting>
  <conditionalFormatting sqref="J4:DB4">
    <cfRule type="expression" dxfId="3" priority="8">
      <formula>AND(J$5&lt;=EOMONTH($I$5,2),J$5&gt;EOMONTH($I$5,0),J$5&gt;EOMONTH($I$5,1))</formula>
    </cfRule>
  </conditionalFormatting>
  <conditionalFormatting sqref="BO4">
    <cfRule type="expression" dxfId="2" priority="5">
      <formula>BO$5&lt;=EOMONTH($I$5,0)</formula>
    </cfRule>
  </conditionalFormatting>
  <conditionalFormatting sqref="CT4">
    <cfRule type="expression" dxfId="1" priority="3">
      <formula>CT$5&lt;=EOMONTH($I$5,0)</formula>
    </cfRule>
  </conditionalFormatting>
  <conditionalFormatting sqref="DB5:DB34">
    <cfRule type="expression" dxfId="0" priority="78">
      <formula>AND(TODAY()&gt;=DB$5,TODAY()&lt;#REF!)</formula>
    </cfRule>
  </conditionalFormatting>
  <dataValidations count="2">
    <dataValidation type="whole" operator="greaterThanOrEqual" allowBlank="1" showInputMessage="1" promptTitle="Incremento de desplazamiento" prompt="Al cambiar este número, se desplazará la vista del diagrama de Gantt." sqref="F4" xr:uid="{00000000-0002-0000-0000-000000000000}">
      <formula1>0</formula1>
    </dataValidation>
    <dataValidation type="list" allowBlank="1" showInputMessage="1" showErrorMessage="1" sqref="C16:C20 C10:C14 C22:C26 C28:C33" xr:uid="{00000000-0002-0000-0000-000001000000}">
      <formula1>"Objetivo,Hito,Según lo previsto, Riesgo bajo, Riesgo medio, Riesgo alto"</formula1>
    </dataValidation>
  </dataValidations>
  <printOptions horizontalCentered="1"/>
  <pageMargins left="0.25" right="0.25" top="0.5" bottom="0.5" header="0.3" footer="0.3"/>
  <pageSetup paperSize="9" scale="48" fitToHeight="0" orientation="landscape" r:id="rId1"/>
  <headerFooter differentFirst="1" scaleWithDoc="0">
    <oddFoote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149" r:id="rId4" name="Barra de desplazamiento 5">
              <controlPr defaultSize="0" autoPict="0" altText="Barra de desplazamiento para desplazarse por la escala de tiempo del proyecto Ghantt.">
                <anchor moveWithCells="1">
                  <from>
                    <xdr:col>8</xdr:col>
                    <xdr:colOff>30480</xdr:colOff>
                    <xdr:row>5</xdr:row>
                    <xdr:rowOff>60960</xdr:rowOff>
                  </from>
                  <to>
                    <xdr:col>106</xdr:col>
                    <xdr:colOff>419100</xdr:colOff>
                    <xdr:row>5</xdr:row>
                    <xdr:rowOff>251460</xdr:rowOff>
                  </to>
                </anchor>
              </controlPr>
            </control>
          </mc:Choice>
        </mc:AlternateContent>
      </controls>
    </mc:Choice>
  </mc:AlternateContent>
  <tableParts count="1">
    <tablePart r:id="rId5"/>
  </tableParts>
  <extLst>
    <ext xmlns:x14="http://schemas.microsoft.com/office/spreadsheetml/2009/9/main" uri="{78C0D931-6437-407d-A8EE-F0AAD7539E65}">
      <x14:conditionalFormattings>
        <x14:conditionalFormatting xmlns:xm="http://schemas.microsoft.com/office/excel/2006/main">
          <x14:cfRule type="dataBar" id="{B0389232-4C98-4A03-AD0E-39F63BAD1F53}">
            <x14:dataBar minLength="0" maxLength="100" gradient="0">
              <x14:cfvo type="num">
                <xm:f>0</xm:f>
              </x14:cfvo>
              <x14:cfvo type="num">
                <xm:f>1</xm:f>
              </x14:cfvo>
              <x14:negativeFillColor rgb="FFFF0000"/>
              <x14:axisColor rgb="FF000000"/>
            </x14:dataBar>
          </x14:cfRule>
          <xm:sqref>E7:E33</xm:sqref>
        </x14:conditionalFormatting>
        <x14:conditionalFormatting xmlns:xm="http://schemas.microsoft.com/office/excel/2006/main">
          <x14:cfRule type="iconSet" priority="90" id="{628A03C6-EE71-4B44-A6BA-69DC45906EA6}">
            <x14:iconSet iconSet="3Stars" showValue="0" custom="1">
              <x14:cfvo type="percent">
                <xm:f>0</xm:f>
              </x14:cfvo>
              <x14:cfvo type="num">
                <xm:f>1</xm:f>
              </x14:cfvo>
              <x14:cfvo type="num">
                <xm:f>2</xm:f>
              </x14:cfvo>
              <x14:cfIcon iconSet="NoIcons" iconId="0"/>
              <x14:cfIcon iconSet="3Flags" iconId="1"/>
              <x14:cfIcon iconSet="3Signs" iconId="0"/>
            </x14:iconSet>
          </x14:cfRule>
          <xm:sqref>I8:DB33</xm:sqref>
        </x14:conditionalFormatting>
        <x14:conditionalFormatting xmlns:xm="http://schemas.microsoft.com/office/excel/2006/main">
          <x14:cfRule type="iconSet" priority="96" id="{628A03C6-EE71-4B44-A6BA-69DC45906EA6}">
            <x14:iconSet iconSet="3Stars" showValue="0" custom="1">
              <x14:cfvo type="percent">
                <xm:f>0</xm:f>
              </x14:cfvo>
              <x14:cfvo type="num">
                <xm:f>1</xm:f>
              </x14:cfvo>
              <x14:cfvo type="num">
                <xm:f>2</xm:f>
              </x14:cfvo>
              <x14:cfIcon iconSet="NoIcons" iconId="0"/>
              <x14:cfIcon iconSet="3Flags" iconId="1"/>
              <x14:cfIcon iconSet="3Signs" iconId="0"/>
            </x14:iconSet>
          </x14:cfRule>
          <xm:sqref>I34:DB34</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1"/>
  <dimension ref="A1:A5"/>
  <sheetViews>
    <sheetView showGridLines="0" zoomScaleNormal="100" workbookViewId="0"/>
  </sheetViews>
  <sheetFormatPr baseColWidth="10" defaultColWidth="9.109375" defaultRowHeight="13.8" x14ac:dyDescent="0.3"/>
  <cols>
    <col min="1" max="1" width="87.109375" style="10" customWidth="1"/>
    <col min="2" max="16384" width="9.109375" style="8"/>
  </cols>
  <sheetData>
    <row r="1" spans="1:1" s="9" customFormat="1" ht="25.8" x14ac:dyDescent="0.5">
      <c r="A1" s="11" t="s">
        <v>29</v>
      </c>
    </row>
    <row r="2" spans="1:1" ht="115.2" x14ac:dyDescent="0.3">
      <c r="A2" s="12" t="s">
        <v>30</v>
      </c>
    </row>
    <row r="3" spans="1:1" ht="26.25" customHeight="1" x14ac:dyDescent="0.3">
      <c r="A3" s="11" t="s">
        <v>31</v>
      </c>
    </row>
    <row r="4" spans="1:1" s="10" customFormat="1" ht="216.75" customHeight="1" x14ac:dyDescent="0.3">
      <c r="A4" s="13" t="s">
        <v>32</v>
      </c>
    </row>
    <row r="5" spans="1:1" ht="14.4" x14ac:dyDescent="0.3">
      <c r="A5" s="40" t="s">
        <v>33</v>
      </c>
    </row>
  </sheetData>
  <pageMargins left="0.5" right="0.5" top="0.5" bottom="0.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vt:i4>
      </vt:variant>
      <vt:variant>
        <vt:lpstr>Rangos con nombre</vt:lpstr>
      </vt:variant>
      <vt:variant>
        <vt:i4>4</vt:i4>
      </vt:variant>
    </vt:vector>
  </HeadingPairs>
  <TitlesOfParts>
    <vt:vector size="6" baseType="lpstr">
      <vt:lpstr>Gantt</vt:lpstr>
      <vt:lpstr>Información</vt:lpstr>
      <vt:lpstr>Gantt!Área_de_impresión</vt:lpstr>
      <vt:lpstr>Incremento_de_desplazamiento</vt:lpstr>
      <vt:lpstr>Inicio_del_proyecto</vt:lpstr>
      <vt:lpstr>Gantt!Títulos_a_imprimir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2018-07-14T00:37:31Z</dcterms:created>
  <dcterms:modified xsi:type="dcterms:W3CDTF">2025-10-27T14:55:08Z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f42aa342-8706-4288-bd11-ebb85995028c_Enabled">
    <vt:lpwstr>True</vt:lpwstr>
  </property>
  <property fmtid="{D5CDD505-2E9C-101B-9397-08002B2CF9AE}" pid="3" name="MSIP_Label_f42aa342-8706-4288-bd11-ebb85995028c_SiteId">
    <vt:lpwstr>72f988bf-86f1-41af-91ab-2d7cd011db47</vt:lpwstr>
  </property>
  <property fmtid="{D5CDD505-2E9C-101B-9397-08002B2CF9AE}" pid="4" name="MSIP_Label_f42aa342-8706-4288-bd11-ebb85995028c_Owner">
    <vt:lpwstr>v-abdarl@microsoft.com</vt:lpwstr>
  </property>
  <property fmtid="{D5CDD505-2E9C-101B-9397-08002B2CF9AE}" pid="5" name="MSIP_Label_f42aa342-8706-4288-bd11-ebb85995028c_SetDate">
    <vt:lpwstr>2018-07-14T00:37:39.5197457Z</vt:lpwstr>
  </property>
  <property fmtid="{D5CDD505-2E9C-101B-9397-08002B2CF9AE}" pid="6" name="MSIP_Label_f42aa342-8706-4288-bd11-ebb85995028c_Name">
    <vt:lpwstr>General</vt:lpwstr>
  </property>
  <property fmtid="{D5CDD505-2E9C-101B-9397-08002B2CF9AE}" pid="7" name="MSIP_Label_f42aa342-8706-4288-bd11-ebb85995028c_Application">
    <vt:lpwstr>Microsoft Azure Information Protection</vt:lpwstr>
  </property>
  <property fmtid="{D5CDD505-2E9C-101B-9397-08002B2CF9AE}" pid="8" name="MSIP_Label_f42aa342-8706-4288-bd11-ebb85995028c_Extended_MSFT_Method">
    <vt:lpwstr>Automatic</vt:lpwstr>
  </property>
  <property fmtid="{D5CDD505-2E9C-101B-9397-08002B2CF9AE}" pid="9" name="Sensitivity">
    <vt:lpwstr>General</vt:lpwstr>
  </property>
</Properties>
</file>